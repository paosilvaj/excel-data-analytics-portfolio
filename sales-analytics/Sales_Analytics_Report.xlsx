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aola\Documents\FREELANCE\Sales analysis en Excel - Basic\"/>
    </mc:Choice>
  </mc:AlternateContent>
  <xr:revisionPtr revIDLastSave="0" documentId="13_ncr:1_{8F307B3D-DD5E-4537-8FCF-17CE7343B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Report" sheetId="7" r:id="rId1"/>
    <sheet name="Data Raw" sheetId="1" r:id="rId2"/>
    <sheet name="Data Clean" sheetId="8" r:id="rId3"/>
  </sheets>
  <definedNames>
    <definedName name="ExternalData_1" localSheetId="2" hidden="1">'Data Clean'!$A$1:$H$857</definedName>
  </definedName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6CFDF6-6CDE-433C-AE4D-CC607ECD5CD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<sst xmlns="http://schemas.openxmlformats.org/spreadsheetml/2006/main" count="8004" uniqueCount="1342">
  <si>
    <t>Order ID</t>
  </si>
  <si>
    <t>Order Date</t>
  </si>
  <si>
    <t>Product</t>
  </si>
  <si>
    <t>Category</t>
  </si>
  <si>
    <t>Quantity</t>
  </si>
  <si>
    <t>Unit Price</t>
  </si>
  <si>
    <t>Total Sales</t>
  </si>
  <si>
    <t>Region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</si>
  <si>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</si>
  <si>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</si>
  <si>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</si>
  <si>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</si>
  <si>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</si>
  <si>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</si>
  <si>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</si>
  <si>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</si>
  <si>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</si>
  <si>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</si>
  <si>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</si>
  <si>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</si>
  <si>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</si>
  <si>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</si>
  <si>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</si>
  <si>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</si>
  <si>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</si>
  <si>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</si>
  <si>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</si>
  <si>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</si>
  <si>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</si>
  <si>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</si>
  <si>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</si>
  <si>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</si>
  <si>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</si>
  <si>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</si>
  <si>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</si>
  <si>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</si>
  <si>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</si>
  <si>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</si>
  <si>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</si>
  <si>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</si>
  <si>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</si>
  <si>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</si>
  <si>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</si>
  <si>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</si>
  <si>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</si>
  <si>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</si>
  <si>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</si>
  <si>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</si>
  <si>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</si>
  <si>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</si>
  <si>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</si>
  <si>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</si>
  <si>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</si>
  <si>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</si>
  <si>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</si>
  <si>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</si>
  <si>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</si>
  <si>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</si>
  <si>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</si>
  <si>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</si>
  <si>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</si>
  <si>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</si>
  <si>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</si>
  <si>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</si>
  <si>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</si>
  <si>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</si>
  <si>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</si>
  <si>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</si>
  <si>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</si>
  <si>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</si>
  <si>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</si>
  <si>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</si>
  <si>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</si>
  <si>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</si>
  <si>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</si>
  <si>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</si>
  <si>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</si>
  <si>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</si>
  <si>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</si>
  <si>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</si>
  <si>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</si>
  <si>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</si>
  <si>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</si>
  <si>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</si>
  <si>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</si>
  <si>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</si>
  <si>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</si>
  <si>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</si>
  <si>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</si>
  <si>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</si>
  <si>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</si>
  <si>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</si>
  <si>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</si>
  <si>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</si>
  <si>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</si>
  <si>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</si>
  <si>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</si>
  <si>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</si>
  <si>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</si>
  <si>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</si>
  <si>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</si>
  <si>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</si>
  <si>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</si>
  <si>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</si>
  <si>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</si>
  <si>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</si>
  <si>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</si>
  <si>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</si>
  <si>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</si>
  <si>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</si>
  <si>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</si>
  <si>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</si>
  <si>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</si>
  <si>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</si>
  <si>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</si>
  <si>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</si>
  <si>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</si>
  <si>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</si>
  <si>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</si>
  <si>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</si>
  <si>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</si>
  <si>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</si>
  <si>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</si>
  <si>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</si>
  <si>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</si>
  <si>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</si>
  <si>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</si>
  <si>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</si>
  <si>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</si>
  <si>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</si>
  <si>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</si>
  <si>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</si>
  <si>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</si>
  <si>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</si>
  <si>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</si>
  <si>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</si>
  <si>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</si>
  <si>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</si>
  <si>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</si>
  <si>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</si>
  <si>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</si>
  <si>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</si>
  <si>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</si>
  <si>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</si>
  <si>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</si>
  <si>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</si>
  <si>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</si>
  <si>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</si>
  <si>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</si>
  <si>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</si>
  <si>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</si>
  <si>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</si>
  <si>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</si>
  <si>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</si>
  <si>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</si>
  <si>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</si>
  <si>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</si>
  <si>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</si>
  <si>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</si>
  <si>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</si>
  <si>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</si>
  <si>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</si>
  <si>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</si>
  <si>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</si>
  <si>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</si>
  <si>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</si>
  <si>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</si>
  <si>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</si>
  <si>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</si>
  <si>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</si>
  <si>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</si>
  <si>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</si>
  <si>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</si>
  <si>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</si>
  <si>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</si>
  <si>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</si>
  <si>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</si>
  <si>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</si>
  <si>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</si>
  <si>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</si>
  <si>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</si>
  <si>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</si>
  <si>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</si>
  <si>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</si>
  <si>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</si>
  <si>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</si>
  <si>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</si>
  <si>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</si>
  <si>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</si>
  <si>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</si>
  <si>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</si>
  <si>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</si>
  <si>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</si>
  <si>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</si>
  <si>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</si>
  <si>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</si>
  <si>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</si>
  <si>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</si>
  <si>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</si>
  <si>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</si>
  <si>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</si>
  <si>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</si>
  <si>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</si>
  <si>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</si>
  <si>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</si>
  <si>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</si>
  <si>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</si>
  <si>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</si>
  <si>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</si>
  <si>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</si>
  <si>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</si>
  <si>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</si>
  <si>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</si>
  <si>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</si>
  <si>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</si>
  <si>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</si>
  <si>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</si>
  <si>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</si>
  <si>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</si>
  <si>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</si>
  <si>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</si>
  <si>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</si>
  <si>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</si>
  <si>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</si>
  <si>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</si>
  <si>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</si>
  <si>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</si>
  <si>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</si>
  <si>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</si>
  <si>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</si>
  <si>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</si>
  <si>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</si>
  <si>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</si>
  <si>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</si>
  <si>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</si>
  <si>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</si>
  <si>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</si>
  <si>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</si>
  <si>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</si>
  <si>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</si>
  <si>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</si>
  <si>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</si>
  <si>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</si>
  <si>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</si>
  <si>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</si>
  <si>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</si>
  <si>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</si>
  <si>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</si>
  <si>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</si>
  <si>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</si>
  <si>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</si>
  <si>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</si>
  <si>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</si>
  <si>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</si>
  <si>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</si>
  <si>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</si>
  <si>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</si>
  <si>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</si>
  <si>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</si>
  <si>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</si>
  <si>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</si>
  <si>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</si>
  <si>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</si>
  <si>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</si>
  <si>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</si>
  <si>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</si>
  <si>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</si>
  <si>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</si>
  <si>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</si>
  <si>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</si>
  <si>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</si>
  <si>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</si>
  <si>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</si>
  <si>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</si>
  <si>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</si>
  <si>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</si>
  <si>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</si>
  <si>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</si>
  <si>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</si>
  <si>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</si>
  <si>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</si>
  <si>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</si>
  <si>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</si>
  <si>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</si>
  <si>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</si>
  <si>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</si>
  <si>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</si>
  <si>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</si>
  <si>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</si>
  <si>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</si>
  <si>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</si>
  <si>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</si>
  <si>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</si>
  <si>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</si>
  <si>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</si>
  <si>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</si>
  <si>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</si>
  <si>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</si>
  <si>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</si>
  <si>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</si>
  <si>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</si>
  <si>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</si>
  <si>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</si>
  <si>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</si>
  <si>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</si>
  <si>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</si>
  <si>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</si>
  <si>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</si>
  <si>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</si>
  <si>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</si>
  <si>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</si>
  <si>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</si>
  <si>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</si>
  <si>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</si>
  <si>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</si>
  <si>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</si>
  <si>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</si>
  <si>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</si>
  <si>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</si>
  <si>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</si>
  <si>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</si>
  <si>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</si>
  <si>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</si>
  <si>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</si>
  <si>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</si>
  <si>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</si>
  <si>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</si>
  <si>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</si>
  <si>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</si>
  <si>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</si>
  <si>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</si>
  <si>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</si>
  <si>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</si>
  <si>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</si>
  <si>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</si>
  <si>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</si>
  <si>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</si>
  <si>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</si>
  <si>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</si>
  <si>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</si>
  <si>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</si>
  <si>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</si>
  <si>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</si>
  <si>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</si>
  <si>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</si>
  <si>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</si>
  <si>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</si>
  <si>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</si>
  <si>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</si>
  <si>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</si>
  <si>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</si>
  <si>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</si>
  <si>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</si>
  <si>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</si>
  <si>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</si>
  <si>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</si>
  <si>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</si>
  <si>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</si>
  <si>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</si>
  <si>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</si>
  <si>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</si>
  <si>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</si>
  <si>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</si>
  <si>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</si>
  <si>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</si>
  <si>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</si>
  <si>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</si>
  <si>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</si>
  <si>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</si>
  <si>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</si>
  <si>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</si>
  <si>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</si>
  <si>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</si>
  <si>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</si>
  <si>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</si>
  <si>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</si>
  <si>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</si>
  <si>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</si>
  <si>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</si>
  <si>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</si>
  <si>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</si>
  <si>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</si>
  <si>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</si>
  <si>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</si>
  <si>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</si>
  <si>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</si>
  <si>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</si>
  <si>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</si>
  <si>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</si>
  <si>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</si>
  <si>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</si>
  <si>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</si>
  <si>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</si>
  <si>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</si>
  <si>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</si>
  <si>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</si>
  <si>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</si>
  <si>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</si>
  <si>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</si>
  <si>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</si>
  <si>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</si>
  <si>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</si>
  <si>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</si>
  <si>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</si>
  <si>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</si>
  <si>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</si>
  <si>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</si>
  <si>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</si>
  <si>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</si>
  <si>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</si>
  <si>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</si>
  <si>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</si>
  <si>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</si>
  <si>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</si>
  <si>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</si>
  <si>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</si>
  <si>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</si>
  <si>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</si>
  <si>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</si>
  <si>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</si>
  <si>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</si>
  <si>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</si>
  <si>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</si>
  <si>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</si>
  <si>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</si>
  <si>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</si>
  <si>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</si>
  <si>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</si>
  <si>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</si>
  <si>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</si>
  <si>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</si>
  <si>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</si>
  <si>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</si>
  <si>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</si>
  <si>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</si>
  <si>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</si>
  <si>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</si>
  <si>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</si>
  <si>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</si>
  <si>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</si>
  <si>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</si>
  <si>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</si>
  <si>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</si>
  <si>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</si>
  <si>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</si>
  <si>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</si>
  <si>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</si>
  <si>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</si>
  <si>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</si>
  <si>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</si>
  <si>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</si>
  <si>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</si>
  <si>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</si>
  <si>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</si>
  <si>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</si>
  <si>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</si>
  <si>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</si>
  <si>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</si>
  <si>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</si>
  <si>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</si>
  <si>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</si>
  <si>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</si>
  <si>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</si>
  <si>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</si>
  <si>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</si>
  <si>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</si>
  <si>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</si>
  <si>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</si>
  <si>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</si>
  <si>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</si>
  <si>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</si>
  <si>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</si>
  <si>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</si>
  <si>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</si>
  <si>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</si>
  <si>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</si>
  <si>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</si>
  <si>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</si>
  <si>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</si>
  <si>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</si>
  <si>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</si>
  <si>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</si>
  <si>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</si>
  <si>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</si>
  <si>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</si>
  <si>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</si>
  <si>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</si>
  <si>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</si>
  <si>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</si>
  <si>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</si>
  <si>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</si>
  <si>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</si>
  <si>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</si>
  <si>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</si>
  <si>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</si>
  <si>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</si>
  <si>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</si>
  <si>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</si>
  <si>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</si>
  <si>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</si>
  <si>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</si>
  <si>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</si>
  <si>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</si>
  <si>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</si>
  <si>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</si>
  <si>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</si>
  <si>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</si>
  <si>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</si>
  <si>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</si>
  <si>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</si>
  <si>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</si>
  <si>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</si>
  <si>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</si>
  <si>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</si>
  <si>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</si>
  <si>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</si>
  <si>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</si>
  <si>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</si>
  <si>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</si>
  <si>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</si>
  <si>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</si>
  <si>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</si>
  <si>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</si>
  <si>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</si>
  <si>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</si>
  <si>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</si>
  <si>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</si>
  <si>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</si>
  <si>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</si>
  <si>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</si>
  <si>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</si>
  <si>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</si>
  <si>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</si>
  <si>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</si>
  <si>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</si>
  <si>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</si>
  <si>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</si>
  <si>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</si>
  <si>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</si>
  <si>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</si>
  <si>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</si>
  <si>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</si>
  <si>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</si>
  <si>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</si>
  <si>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</si>
  <si>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</si>
  <si>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</si>
  <si>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</si>
  <si>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</si>
  <si>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</si>
  <si>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</si>
  <si>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</si>
  <si>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</si>
  <si>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</si>
  <si>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</si>
  <si>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</si>
  <si>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</si>
  <si>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</si>
  <si>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</si>
  <si>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</si>
  <si>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</si>
  <si>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</si>
  <si>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</si>
  <si>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</si>
  <si>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</si>
  <si>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</si>
  <si>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</si>
  <si>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</si>
  <si>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</si>
  <si>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</si>
  <si>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</si>
  <si>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</si>
  <si>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</si>
  <si>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</si>
  <si>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</si>
  <si>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</si>
  <si>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</si>
  <si>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</si>
  <si>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</si>
  <si>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</si>
  <si>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</si>
  <si>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</si>
  <si>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</si>
  <si>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</si>
  <si>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</si>
  <si>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</si>
  <si>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</si>
  <si>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</si>
  <si>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</si>
  <si>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</si>
  <si>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</si>
  <si>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</si>
  <si>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</si>
  <si>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</si>
  <si>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</si>
  <si>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</si>
  <si>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</si>
  <si>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</si>
  <si>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</si>
  <si>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</si>
  <si>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</si>
  <si>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</si>
  <si>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</si>
  <si>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</si>
  <si>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</si>
  <si>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</si>
  <si>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</si>
  <si>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</si>
  <si>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</si>
  <si>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</si>
  <si>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</si>
  <si>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</si>
  <si>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</si>
  <si>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</si>
  <si>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</si>
  <si>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</si>
  <si>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</si>
  <si>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</si>
  <si>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</si>
  <si>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</si>
  <si>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</si>
  <si>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</si>
  <si>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</si>
  <si>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</si>
  <si>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</si>
  <si>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</si>
  <si>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</si>
  <si>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</si>
  <si>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</si>
  <si>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</si>
  <si>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</si>
  <si>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</si>
  <si>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</si>
  <si>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</si>
  <si>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</si>
  <si>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</si>
  <si>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</si>
  <si>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</si>
  <si>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</si>
  <si>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</si>
  <si>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</si>
  <si>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</si>
  <si>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</si>
  <si>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</si>
  <si>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</si>
  <si>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</si>
  <si>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</si>
  <si>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</si>
  <si>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</si>
  <si>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</si>
  <si>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</si>
  <si>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</si>
  <si>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</si>
  <si>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</si>
  <si>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</si>
  <si>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</si>
  <si>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</si>
  <si>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</si>
  <si>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</si>
  <si>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</si>
  <si>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</si>
  <si>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</si>
  <si>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</si>
  <si>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</si>
  <si>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</si>
  <si>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</si>
  <si>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</si>
  <si>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</si>
  <si>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</si>
  <si>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</si>
  <si>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</si>
  <si>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</si>
  <si>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</si>
  <si>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</si>
  <si>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</si>
  <si>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</si>
  <si>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</si>
  <si>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</si>
  <si>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</si>
  <si>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</si>
  <si>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</si>
  <si>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</si>
  <si>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</si>
  <si>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</si>
  <si>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</si>
  <si>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</si>
  <si>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</si>
  <si>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</si>
  <si>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</si>
  <si>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</si>
  <si>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</si>
  <si>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</si>
  <si>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</si>
  <si>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</si>
  <si>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</si>
  <si>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</si>
  <si>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</si>
  <si>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</si>
  <si>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</si>
  <si>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</si>
  <si>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</si>
  <si>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</si>
  <si>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</si>
  <si>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</si>
  <si>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</si>
  <si>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</si>
  <si>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</si>
  <si>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</si>
  <si>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</si>
  <si>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</si>
  <si>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</si>
  <si>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</si>
  <si>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</si>
  <si>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</si>
  <si>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</si>
  <si>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</si>
  <si>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</si>
  <si>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</si>
  <si>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</si>
  <si>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</si>
  <si>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</si>
  <si>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</si>
  <si>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</si>
  <si>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</si>
  <si>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</si>
  <si>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</si>
  <si>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</si>
  <si>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</si>
  <si>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</si>
  <si>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</si>
  <si>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</si>
  <si>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</si>
  <si>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</si>
  <si>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</si>
  <si>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</si>
  <si>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</si>
  <si>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</si>
  <si>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</si>
  <si>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</si>
  <si>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</si>
  <si>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</si>
  <si>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</si>
  <si>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</si>
  <si>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</si>
  <si>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</si>
  <si>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</si>
  <si>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</si>
  <si>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</si>
  <si>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</si>
  <si>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</si>
  <si>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</si>
  <si>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</si>
  <si>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</si>
  <si>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</si>
  <si>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</si>
  <si>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</si>
  <si>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</si>
  <si>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</si>
  <si>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</si>
  <si>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</si>
  <si>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</si>
  <si>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</si>
  <si>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</si>
  <si>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</si>
  <si>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</si>
  <si>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</si>
  <si>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</si>
  <si>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</si>
  <si>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</si>
  <si>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</si>
  <si>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</si>
  <si>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</si>
  <si>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</si>
  <si>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</si>
  <si>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</si>
  <si>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</si>
  <si>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</si>
  <si>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</si>
  <si>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</si>
  <si>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</si>
  <si>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</si>
  <si>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</si>
  <si>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</si>
  <si>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</si>
  <si>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</si>
  <si>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</si>
  <si>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</si>
  <si>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</si>
  <si>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</si>
  <si>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</si>
  <si>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</si>
  <si>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</si>
  <si>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</si>
  <si>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</si>
  <si>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</si>
  <si>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</si>
  <si>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</si>
  <si>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</si>
  <si>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</si>
  <si>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</si>
  <si>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</si>
  <si>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</si>
  <si>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</si>
  <si>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</si>
  <si>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</si>
  <si>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</si>
  <si>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</si>
  <si>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</si>
  <si>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</si>
  <si>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</si>
  <si>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</si>
  <si>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</si>
  <si>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</si>
  <si>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</si>
  <si>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</si>
  <si>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</si>
  <si>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</si>
  <si>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</si>
  <si>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</si>
  <si>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</si>
  <si>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</si>
  <si>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</si>
  <si>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</si>
  <si>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</si>
  <si>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</si>
  <si>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</si>
  <si>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</si>
  <si>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</si>
  <si>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</si>
  <si>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</si>
  <si>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</si>
  <si>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</si>
  <si>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</si>
  <si>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</si>
  <si>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</si>
  <si>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</si>
  <si>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</si>
  <si>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</si>
  <si>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</si>
  <si>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</si>
  <si>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</si>
  <si>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</si>
  <si>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</si>
  <si>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</si>
  <si>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</si>
  <si>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</si>
  <si>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</si>
  <si>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</si>
  <si>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</si>
  <si>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</si>
  <si>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</si>
  <si>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</si>
  <si>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</si>
  <si>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</si>
  <si>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</si>
  <si>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</si>
  <si>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</si>
  <si>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</si>
  <si>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</si>
  <si>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</si>
  <si>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</si>
  <si>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</si>
  <si>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</si>
  <si>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</si>
  <si>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</si>
  <si>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</si>
  <si>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</si>
  <si>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</si>
  <si>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</si>
  <si>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</si>
  <si>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</si>
  <si>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</si>
  <si>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</si>
  <si>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</si>
  <si>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</si>
  <si>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</si>
  <si>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</si>
  <si>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</si>
  <si>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</si>
  <si>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</si>
  <si>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</si>
  <si>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</si>
  <si>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</si>
  <si>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</si>
  <si>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</si>
  <si>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</si>
  <si>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</si>
  <si>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</si>
  <si>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</si>
  <si>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</si>
  <si>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</si>
  <si>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</si>
  <si>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</si>
  <si>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</si>
  <si>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</si>
  <si>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</si>
  <si>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</si>
  <si>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</si>
  <si>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</si>
  <si>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</si>
  <si>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</si>
  <si>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</si>
  <si>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</si>
  <si>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</si>
  <si>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</si>
  <si>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</si>
  <si>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</si>
  <si>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</si>
  <si>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2024-05-20</t>
  </si>
  <si>
    <t>2024-02-22</t>
  </si>
  <si>
    <t>2024-02-17</t>
  </si>
  <si>
    <t>2024-01-14</t>
  </si>
  <si>
    <t>2024-10-28</t>
  </si>
  <si>
    <t>2024-08-04</t>
  </si>
  <si>
    <t>2024-06-21</t>
  </si>
  <si>
    <t>2024-07-02</t>
  </si>
  <si>
    <t>2024-08-23</t>
  </si>
  <si>
    <t>2024-05-30</t>
  </si>
  <si>
    <t>2024-12-04</t>
  </si>
  <si>
    <t>2024-04-29</t>
  </si>
  <si>
    <t>2024-11-21</t>
  </si>
  <si>
    <t>2024-04-17</t>
  </si>
  <si>
    <t>2024-03-28</t>
  </si>
  <si>
    <t>2024-05-18</t>
  </si>
  <si>
    <t>2024-01-17</t>
  </si>
  <si>
    <t>2024-04-18</t>
  </si>
  <si>
    <t>2024-11-25</t>
  </si>
  <si>
    <t>2024-05-06</t>
  </si>
  <si>
    <t>2024-07-04</t>
  </si>
  <si>
    <t>2024-02-16</t>
  </si>
  <si>
    <t>2024-03-22</t>
  </si>
  <si>
    <t>2024-11-01</t>
  </si>
  <si>
    <t>2024-01-06</t>
  </si>
  <si>
    <t>2024-05-14</t>
  </si>
  <si>
    <t>2024-11-23</t>
  </si>
  <si>
    <t>2024-03-23</t>
  </si>
  <si>
    <t>2024-02-27</t>
  </si>
  <si>
    <t>2024-05-03</t>
  </si>
  <si>
    <t>2024/02/05</t>
  </si>
  <si>
    <t>2024-03-25</t>
  </si>
  <si>
    <t>2024-12-19</t>
  </si>
  <si>
    <t>2024-11-28</t>
  </si>
  <si>
    <t>2024-03-02</t>
  </si>
  <si>
    <t>2024-01-11</t>
  </si>
  <si>
    <t>2024-12-28</t>
  </si>
  <si>
    <t>2024-06-18</t>
  </si>
  <si>
    <t>2024-09-05</t>
  </si>
  <si>
    <t>2024-08-30</t>
  </si>
  <si>
    <t>2024-02-18</t>
  </si>
  <si>
    <t>2024-07-29</t>
  </si>
  <si>
    <t>2024-07-25</t>
  </si>
  <si>
    <t>2024-04-07</t>
  </si>
  <si>
    <t>2024-05-22</t>
  </si>
  <si>
    <t>2024-10-08</t>
  </si>
  <si>
    <t>2024-01-08</t>
  </si>
  <si>
    <t>2024-08-20</t>
  </si>
  <si>
    <t>2024-09-06</t>
  </si>
  <si>
    <t>2024-01-30</t>
  </si>
  <si>
    <t>2024-10-26</t>
  </si>
  <si>
    <t>2024-02-11</t>
  </si>
  <si>
    <t>2024-12-11</t>
  </si>
  <si>
    <t>2024-10-25</t>
  </si>
  <si>
    <t>2024-06-09</t>
  </si>
  <si>
    <t>2024-12-09</t>
  </si>
  <si>
    <t>2024-02-07</t>
  </si>
  <si>
    <t>2024-02-21</t>
  </si>
  <si>
    <t>2024-03-08</t>
  </si>
  <si>
    <t>2024-05-25</t>
  </si>
  <si>
    <t>2024-06-03</t>
  </si>
  <si>
    <t>2024-05-15</t>
  </si>
  <si>
    <t>2024-05-19</t>
  </si>
  <si>
    <t>2024-12-17</t>
  </si>
  <si>
    <t>2024-01-27</t>
  </si>
  <si>
    <t>2024-01-02</t>
  </si>
  <si>
    <t>2024-08-14</t>
  </si>
  <si>
    <t>2024-10-09</t>
  </si>
  <si>
    <t>2024-06-06</t>
  </si>
  <si>
    <t>2024-12-15</t>
  </si>
  <si>
    <t>2024-10-13</t>
  </si>
  <si>
    <t>2024-03-24</t>
  </si>
  <si>
    <t>2024-06-19</t>
  </si>
  <si>
    <t>2024-12-25</t>
  </si>
  <si>
    <t>2024-08-28</t>
  </si>
  <si>
    <t>2024-06-05</t>
  </si>
  <si>
    <t>2024-04-08</t>
  </si>
  <si>
    <t>2024-02-05</t>
  </si>
  <si>
    <t>2024-12-13</t>
  </si>
  <si>
    <t>2024-04-01</t>
  </si>
  <si>
    <t>2024-08-10</t>
  </si>
  <si>
    <t>2024-09-18</t>
  </si>
  <si>
    <t>2024-05-10</t>
  </si>
  <si>
    <t>2024/10/02</t>
  </si>
  <si>
    <t>2024-12-06</t>
  </si>
  <si>
    <t>2024-06-02</t>
  </si>
  <si>
    <t>2024-12-22</t>
  </si>
  <si>
    <t>2024-02-13</t>
  </si>
  <si>
    <t>2024-04-30</t>
  </si>
  <si>
    <t>2024-01-13</t>
  </si>
  <si>
    <t>2024-03-16</t>
  </si>
  <si>
    <t>2024-03-31</t>
  </si>
  <si>
    <t>2024-03-03</t>
  </si>
  <si>
    <t>2024-09-28</t>
  </si>
  <si>
    <t>2024-09-15</t>
  </si>
  <si>
    <t>2024-08-31</t>
  </si>
  <si>
    <t>2024-11-22</t>
  </si>
  <si>
    <t>2024-08-13</t>
  </si>
  <si>
    <t>2024-06-20</t>
  </si>
  <si>
    <t>2024-04-28</t>
  </si>
  <si>
    <t>2024-07-31</t>
  </si>
  <si>
    <t>2024-06-29</t>
  </si>
  <si>
    <t>2024-10-06</t>
  </si>
  <si>
    <t>2024-08-11</t>
  </si>
  <si>
    <t>2024-12-08</t>
  </si>
  <si>
    <t>2024-11-14</t>
  </si>
  <si>
    <t>2024-12-05</t>
  </si>
  <si>
    <t>2024-08-24</t>
  </si>
  <si>
    <t>2024-06-16</t>
  </si>
  <si>
    <t>2024-07-13</t>
  </si>
  <si>
    <t>2024-06-28</t>
  </si>
  <si>
    <t>2024-01-16</t>
  </si>
  <si>
    <t>2024-03-19</t>
  </si>
  <si>
    <t>2024-02-28</t>
  </si>
  <si>
    <t>2024-07-07</t>
  </si>
  <si>
    <t>2024-02-25</t>
  </si>
  <si>
    <t>2024-07-11</t>
  </si>
  <si>
    <t>2024-12-16</t>
  </si>
  <si>
    <t>2024-08-07</t>
  </si>
  <si>
    <t>2024-06-23</t>
  </si>
  <si>
    <t>2024-08-09</t>
  </si>
  <si>
    <t>2024-10-30</t>
  </si>
  <si>
    <t>2024-02-14</t>
  </si>
  <si>
    <t>2024/08/25</t>
  </si>
  <si>
    <t>2024-06-15</t>
  </si>
  <si>
    <t>2024-05-12</t>
  </si>
  <si>
    <t>2024-05-21</t>
  </si>
  <si>
    <t>2024-07-27</t>
  </si>
  <si>
    <t>2024-12-30</t>
  </si>
  <si>
    <t>2024/06/25</t>
  </si>
  <si>
    <t>2024-10-01</t>
  </si>
  <si>
    <t>2024-09-04</t>
  </si>
  <si>
    <t>2024-04-09</t>
  </si>
  <si>
    <t>2024-01-28</t>
  </si>
  <si>
    <t>2024-01-07</t>
  </si>
  <si>
    <t>2024-09-01</t>
  </si>
  <si>
    <t>2024-10-15</t>
  </si>
  <si>
    <t>2024/10/12</t>
  </si>
  <si>
    <t>2024-08-18</t>
  </si>
  <si>
    <t>2024-03-29</t>
  </si>
  <si>
    <t>2024-05-27</t>
  </si>
  <si>
    <t>2024-10-05</t>
  </si>
  <si>
    <t>2024-03-13</t>
  </si>
  <si>
    <t>2024-12-18</t>
  </si>
  <si>
    <t>2024-10-03</t>
  </si>
  <si>
    <t>2024-01-21</t>
  </si>
  <si>
    <t>2024-09-22</t>
  </si>
  <si>
    <t>2024-07-28</t>
  </si>
  <si>
    <t>2024-06-10</t>
  </si>
  <si>
    <t>2024-04-06</t>
  </si>
  <si>
    <t>2024-11-18</t>
  </si>
  <si>
    <t>2024-05-29</t>
  </si>
  <si>
    <t>2024-05-04</t>
  </si>
  <si>
    <t>2024-11-02</t>
  </si>
  <si>
    <t>2024-06-01</t>
  </si>
  <si>
    <t>2024-12-23</t>
  </si>
  <si>
    <t>2024-07-14</t>
  </si>
  <si>
    <t>2024-03-05</t>
  </si>
  <si>
    <t>2024-09-26</t>
  </si>
  <si>
    <t>2024-12-01</t>
  </si>
  <si>
    <t>2024-06-17</t>
  </si>
  <si>
    <t>2024-01-19</t>
  </si>
  <si>
    <t>2024-03-26</t>
  </si>
  <si>
    <t>2024-01-29</t>
  </si>
  <si>
    <t>2024-03-15</t>
  </si>
  <si>
    <t>2024-04-02</t>
  </si>
  <si>
    <t>2024-12-07</t>
  </si>
  <si>
    <t>2024-10-27</t>
  </si>
  <si>
    <t>2024-05-01</t>
  </si>
  <si>
    <t>2024-12-24</t>
  </si>
  <si>
    <t>2024-01-05</t>
  </si>
  <si>
    <t>2024-04-27</t>
  </si>
  <si>
    <t>2024-05-08</t>
  </si>
  <si>
    <t>2024-05-31</t>
  </si>
  <si>
    <t>2024-09-03</t>
  </si>
  <si>
    <t>2024/02/08</t>
  </si>
  <si>
    <t>2024-10-12</t>
  </si>
  <si>
    <t>2024-12-10</t>
  </si>
  <si>
    <t>2024-10-14</t>
  </si>
  <si>
    <t>2024-08-25</t>
  </si>
  <si>
    <t>2024-01-24</t>
  </si>
  <si>
    <t>2024-02-19</t>
  </si>
  <si>
    <t>2024-07-08</t>
  </si>
  <si>
    <t>2024-02-20</t>
  </si>
  <si>
    <t>2024-11-26</t>
  </si>
  <si>
    <t>2024-02-02</t>
  </si>
  <si>
    <t>2024-11-10</t>
  </si>
  <si>
    <t>2024-04-26</t>
  </si>
  <si>
    <t>2024-01-31</t>
  </si>
  <si>
    <t>2024-06-08</t>
  </si>
  <si>
    <t>2024-11-20</t>
  </si>
  <si>
    <t>2024-11-12</t>
  </si>
  <si>
    <t>2024-06-25</t>
  </si>
  <si>
    <t>2024-07-21</t>
  </si>
  <si>
    <t>2024-03-07</t>
  </si>
  <si>
    <t>2024-01-22</t>
  </si>
  <si>
    <t>2024/11/12</t>
  </si>
  <si>
    <t>2024-02-24</t>
  </si>
  <si>
    <t>2024-09-25</t>
  </si>
  <si>
    <t>2024-06-22</t>
  </si>
  <si>
    <t>2024-05-11</t>
  </si>
  <si>
    <t>2024/10/15</t>
  </si>
  <si>
    <t>2024-06-04</t>
  </si>
  <si>
    <t>2024/01/22</t>
  </si>
  <si>
    <t>2024-06-24</t>
  </si>
  <si>
    <t>2024/12/28</t>
  </si>
  <si>
    <t>2024-11-08</t>
  </si>
  <si>
    <t>2024-07-17</t>
  </si>
  <si>
    <t>2024/11/19</t>
  </si>
  <si>
    <t>2024-12-02</t>
  </si>
  <si>
    <t>2024-03-06</t>
  </si>
  <si>
    <t>2024-01-10</t>
  </si>
  <si>
    <t>2024-03-20</t>
  </si>
  <si>
    <t>2024-12-20</t>
  </si>
  <si>
    <t>2024-07-05</t>
  </si>
  <si>
    <t>2024-08-17</t>
  </si>
  <si>
    <t>2024-08-02</t>
  </si>
  <si>
    <t>2024-07-10</t>
  </si>
  <si>
    <t>2024-04-24</t>
  </si>
  <si>
    <t>2024-05-26</t>
  </si>
  <si>
    <t>2024-11-11</t>
  </si>
  <si>
    <t>2024-04-20</t>
  </si>
  <si>
    <t>2024-05-02</t>
  </si>
  <si>
    <t>2024-09-12</t>
  </si>
  <si>
    <t>2024-08-01</t>
  </si>
  <si>
    <t>2024-02-04</t>
  </si>
  <si>
    <t>2024-01-09</t>
  </si>
  <si>
    <t>2024-09-02</t>
  </si>
  <si>
    <t>2024-08-22</t>
  </si>
  <si>
    <t>2024-04-12</t>
  </si>
  <si>
    <t>2024-07-22</t>
  </si>
  <si>
    <t>2024-11-27</t>
  </si>
  <si>
    <t>2024-01-25</t>
  </si>
  <si>
    <t>2024-08-08</t>
  </si>
  <si>
    <t>2024-02-10</t>
  </si>
  <si>
    <t>2024-11-04</t>
  </si>
  <si>
    <t>2024-08-16</t>
  </si>
  <si>
    <t>2024-09-19</t>
  </si>
  <si>
    <t>2024-11-07</t>
  </si>
  <si>
    <t>2024-08-15</t>
  </si>
  <si>
    <t>2024-02-03</t>
  </si>
  <si>
    <t>2024-12-29</t>
  </si>
  <si>
    <t>2024-09-09</t>
  </si>
  <si>
    <t>2024-11-24</t>
  </si>
  <si>
    <t>2024-09-21</t>
  </si>
  <si>
    <t>2024/01/29</t>
  </si>
  <si>
    <t>2024-09-30</t>
  </si>
  <si>
    <t>2024-01-15</t>
  </si>
  <si>
    <t>2024-11-29</t>
  </si>
  <si>
    <t>2024/01/16</t>
  </si>
  <si>
    <t>2024-05-05</t>
  </si>
  <si>
    <t>2024-03-14</t>
  </si>
  <si>
    <t>2024-08-26</t>
  </si>
  <si>
    <t>2024/09/20</t>
  </si>
  <si>
    <t>2024-01-12</t>
  </si>
  <si>
    <t>2024-05-24</t>
  </si>
  <si>
    <t>2024/01/05</t>
  </si>
  <si>
    <t>2024-07-06</t>
  </si>
  <si>
    <t>2024-11-15</t>
  </si>
  <si>
    <t>2024-03-11</t>
  </si>
  <si>
    <t>2024-03-17</t>
  </si>
  <si>
    <t>2024-09-16</t>
  </si>
  <si>
    <t>2024-10-20</t>
  </si>
  <si>
    <t>2024-04-14</t>
  </si>
  <si>
    <t>2024-04-25</t>
  </si>
  <si>
    <t>2024-12-26</t>
  </si>
  <si>
    <t>2024-12-12</t>
  </si>
  <si>
    <t>2024-07-30</t>
  </si>
  <si>
    <t>2024-05-28</t>
  </si>
  <si>
    <t>2024/11/23</t>
  </si>
  <si>
    <t>2024-07-15</t>
  </si>
  <si>
    <t>2024-10-07</t>
  </si>
  <si>
    <t>2024-09-23</t>
  </si>
  <si>
    <t>2024-08-21</t>
  </si>
  <si>
    <t>2024-04-21</t>
  </si>
  <si>
    <t>2024-03-10</t>
  </si>
  <si>
    <t>2024-07-12</t>
  </si>
  <si>
    <t>2024-11-30</t>
  </si>
  <si>
    <t>2024-07-20</t>
  </si>
  <si>
    <t>2024-09-29</t>
  </si>
  <si>
    <t>2024-06-26</t>
  </si>
  <si>
    <t>2024-10-31</t>
  </si>
  <si>
    <t>2024-08-12</t>
  </si>
  <si>
    <t>2024-09-14</t>
  </si>
  <si>
    <t>2024-10-22</t>
  </si>
  <si>
    <t>2024-02-01</t>
  </si>
  <si>
    <t>2024/01/25</t>
  </si>
  <si>
    <t>2024-03-09</t>
  </si>
  <si>
    <t>2024-03-01</t>
  </si>
  <si>
    <t>2024-09-11</t>
  </si>
  <si>
    <t>2024-06-12</t>
  </si>
  <si>
    <t>2024-10-10</t>
  </si>
  <si>
    <t>2024-09-07</t>
  </si>
  <si>
    <t>2024-04-04</t>
  </si>
  <si>
    <t>2024-10-16</t>
  </si>
  <si>
    <t>2024-02-08</t>
  </si>
  <si>
    <t>2024-07-01</t>
  </si>
  <si>
    <t>2024-07-03</t>
  </si>
  <si>
    <t>2024-04-05</t>
  </si>
  <si>
    <t>2024-06-30</t>
  </si>
  <si>
    <t>2024-03-12</t>
  </si>
  <si>
    <t>2024/08/03</t>
  </si>
  <si>
    <t>2024-04-10</t>
  </si>
  <si>
    <t>2024-01-04</t>
  </si>
  <si>
    <t>2024-12-21</t>
  </si>
  <si>
    <t>2024/07/28</t>
  </si>
  <si>
    <t>2024-05-09</t>
  </si>
  <si>
    <t>2024-02-23</t>
  </si>
  <si>
    <t>2024-04-15</t>
  </si>
  <si>
    <t>2024-01-23</t>
  </si>
  <si>
    <t>2024-07-18</t>
  </si>
  <si>
    <t>2024-10-21</t>
  </si>
  <si>
    <t>2024-09-08</t>
  </si>
  <si>
    <t>2024-02-12</t>
  </si>
  <si>
    <t>2024-05-17</t>
  </si>
  <si>
    <t>2024-10-24</t>
  </si>
  <si>
    <t>2024-06-14</t>
  </si>
  <si>
    <t>2024-03-21</t>
  </si>
  <si>
    <t>2024-04-13</t>
  </si>
  <si>
    <t>2024/02/18</t>
  </si>
  <si>
    <t>2024-02-15</t>
  </si>
  <si>
    <t>2024-04-19</t>
  </si>
  <si>
    <t>2024-03-04</t>
  </si>
  <si>
    <t>2024-10-18</t>
  </si>
  <si>
    <t>2024-07-19</t>
  </si>
  <si>
    <t>2024-02-29</t>
  </si>
  <si>
    <t>2024/03/11</t>
  </si>
  <si>
    <t>2024-09-24</t>
  </si>
  <si>
    <t>2024-07-09</t>
  </si>
  <si>
    <t>2024/05/24</t>
  </si>
  <si>
    <t>2024-10-29</t>
  </si>
  <si>
    <t>2024/06/16</t>
  </si>
  <si>
    <t>2024-04-16</t>
  </si>
  <si>
    <t>2024-01-26</t>
  </si>
  <si>
    <t>2024-07-26</t>
  </si>
  <si>
    <t>2024-04-23</t>
  </si>
  <si>
    <t>2024-03-27</t>
  </si>
  <si>
    <t>2024/04/05</t>
  </si>
  <si>
    <t>2024-01-18</t>
  </si>
  <si>
    <t>2024-05-23</t>
  </si>
  <si>
    <t>2024/10/26</t>
  </si>
  <si>
    <t>2024-06-07</t>
  </si>
  <si>
    <t>2024-03-30</t>
  </si>
  <si>
    <t>2024-04-03</t>
  </si>
  <si>
    <t>2024-08-06</t>
  </si>
  <si>
    <t>2024/03/18</t>
  </si>
  <si>
    <t>2024-10-04</t>
  </si>
  <si>
    <t>2024-11-17</t>
  </si>
  <si>
    <t>2024-12-14</t>
  </si>
  <si>
    <t>2024/05/23</t>
  </si>
  <si>
    <t>2024-06-27</t>
  </si>
  <si>
    <t>2024/12/05</t>
  </si>
  <si>
    <t>2024-03-18</t>
  </si>
  <si>
    <t>2024/08/10</t>
  </si>
  <si>
    <t>2024/07/25</t>
  </si>
  <si>
    <t>2024/03/08</t>
  </si>
  <si>
    <t>2024/03/27</t>
  </si>
  <si>
    <t>2024-08-03</t>
  </si>
  <si>
    <t>2024/07/02</t>
  </si>
  <si>
    <t>2024-05-13</t>
  </si>
  <si>
    <t>2024-01-01</t>
  </si>
  <si>
    <t>2024-11-13</t>
  </si>
  <si>
    <t>2024/12/02</t>
  </si>
  <si>
    <t>2024/08/17</t>
  </si>
  <si>
    <t>2024-09-20</t>
  </si>
  <si>
    <t>Mouse</t>
  </si>
  <si>
    <t>Monitor</t>
  </si>
  <si>
    <t>Webcam</t>
  </si>
  <si>
    <t>Laptop</t>
  </si>
  <si>
    <t>Headphones</t>
  </si>
  <si>
    <t xml:space="preserve">mouse </t>
  </si>
  <si>
    <t>Keyboard</t>
  </si>
  <si>
    <t>Printer</t>
  </si>
  <si>
    <t xml:space="preserve">headphones </t>
  </si>
  <si>
    <t>Tablet</t>
  </si>
  <si>
    <t xml:space="preserve">monitor </t>
  </si>
  <si>
    <t xml:space="preserve">webcam </t>
  </si>
  <si>
    <t xml:space="preserve">laptop </t>
  </si>
  <si>
    <t xml:space="preserve">tablet </t>
  </si>
  <si>
    <t xml:space="preserve">keyboard </t>
  </si>
  <si>
    <t xml:space="preserve">printer </t>
  </si>
  <si>
    <t>Accessories</t>
  </si>
  <si>
    <t>Electronics</t>
  </si>
  <si>
    <t xml:space="preserve"> accessories</t>
  </si>
  <si>
    <t xml:space="preserve"> electronics</t>
  </si>
  <si>
    <t>$881</t>
  </si>
  <si>
    <t>$92</t>
  </si>
  <si>
    <t>$230</t>
  </si>
  <si>
    <t>$214</t>
  </si>
  <si>
    <t>$239</t>
  </si>
  <si>
    <t>$621</t>
  </si>
  <si>
    <t>$815</t>
  </si>
  <si>
    <t>$693</t>
  </si>
  <si>
    <t>$827</t>
  </si>
  <si>
    <t>$778</t>
  </si>
  <si>
    <t>$169</t>
  </si>
  <si>
    <t>$63</t>
  </si>
  <si>
    <t>$395</t>
  </si>
  <si>
    <t>$344</t>
  </si>
  <si>
    <t>$733</t>
  </si>
  <si>
    <t>$48</t>
  </si>
  <si>
    <t>$225</t>
  </si>
  <si>
    <t>$76</t>
  </si>
  <si>
    <t>$78</t>
  </si>
  <si>
    <t>$411</t>
  </si>
  <si>
    <t>South</t>
  </si>
  <si>
    <t>North</t>
  </si>
  <si>
    <t>East</t>
  </si>
  <si>
    <t>West</t>
  </si>
  <si>
    <t xml:space="preserve">south </t>
  </si>
  <si>
    <t xml:space="preserve">west </t>
  </si>
  <si>
    <t xml:space="preserve">east </t>
  </si>
  <si>
    <t xml:space="preserve">north </t>
  </si>
  <si>
    <t>Sum of Total Sales</t>
  </si>
  <si>
    <t>Grand Total</t>
  </si>
  <si>
    <t>MonthNum</t>
  </si>
  <si>
    <t>Month (EN)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</si>
  <si>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</si>
  <si>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</si>
  <si>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</si>
  <si>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</si>
  <si>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</si>
  <si>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</si>
  <si>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</si>
  <si>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</si>
  <si>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</si>
  <si>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</si>
  <si>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</si>
  <si>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</si>
  <si>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Summary</t>
  </si>
  <si>
    <t>Month</t>
  </si>
  <si>
    <t>Total Sales Distribution by Category</t>
  </si>
  <si>
    <t>Total Sales by Product</t>
  </si>
  <si>
    <t>Total 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</si>
</sst>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2" fontId="0" fillId="0" borderId="0" xfId="1" applyFont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/>
    </xf>
    <xf numFmtId="42" fontId="0" fillId="0" borderId="0" xfId="0" applyNumberFormat="1" applyFill="1"/>
    <xf numFmtId="0" fontId="1" fillId="4" borderId="0" xfId="0" applyFont="1" applyFill="1" applyAlignment="1">
      <alignment horizontal="center"/>
    </xf>
  </cellXfs>
  <cellStyles count="2">
    <cellStyle name="Currency [0]" xfId="1" builtinId="7"/>
    <cellStyle name="Normal" xfId="0" builtinId="0"/>
  </cellStyles>
  <dxfs count="5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[sales_analysis_dataset.xlsx]Executive Report!PivotTable3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'Executive Report'!$C$9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'Executive Report'!$B$10:$B$22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Report'!$C$10:$C$22</c:f>
              <c:numCache>
                <c:formatCode>_("$"* #,##0_);_("$"* \(#,##0\);_("$"* "-"_);_(@_)</c:formatCode>
                <c:ptCount val="12"/>
                <c:pt idx="0">
                  <c:v>230745</c:v>
                </c:pt>
                <c:pt idx="1">
                  <c:v>222770</c:v>
                </c:pt>
                <c:pt idx="2">
                  <c:v>244258</c:v>
                </c:pt>
                <c:pt idx="3">
                  <c:v>155617</c:v>
                </c:pt>
                <c:pt idx="4">
                  <c:v>169521</c:v>
                </c:pt>
                <c:pt idx="5">
                  <c:v>168227</c:v>
                </c:pt>
                <c:pt idx="6">
                  <c:v>177041</c:v>
                </c:pt>
                <c:pt idx="7">
                  <c:v>156266</c:v>
                </c:pt>
                <c:pt idx="8">
                  <c:v>167809</c:v>
                </c:pt>
                <c:pt idx="9">
                  <c:v>193837</c:v>
                </c:pt>
                <c:pt idx="10">
                  <c:v>119352</c:v>
                </c:pt>
                <c:pt idx="11">
                  <c:v>193912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6-413D-AEF0-A69DEDC64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018751"/>
        <c:axId val="594402623"/>
      </c:lineChart>
      <c:catAx>
        <c:axId val="24501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4402623"/>
        <c:crosses val="autoZero"/>
        <c:auto val="1"/>
        <c:lblAlgn val="ctr"/>
        <c:lblOffset val="100"/>
        <c:noMultiLvlLbl val="0"/>
      </c:catAx>
      <c:valAx>
        <c:axId val="59440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01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[sales_analysis_dataset.xlsx]Executive Report!PivotTable4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Report'!$C$33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Report'!$B$34:$B$36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'Executive Report'!$C$34:$C$36</c:f>
              <c:numCache>
                <c:formatCode>_("$"* #,##0_);_("$"* \(#,##0\);_("$"* "-"_);_(@_)</c:formatCode>
                <c:ptCount val="2"/>
                <c:pt idx="0">
                  <c:v>1158595</c:v>
                </c:pt>
                <c:pt idx="1">
                  <c:v>1040760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E-4804-8D0E-DCDC3D2E2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875263"/>
        <c:axId val="248874783"/>
      </c:barChart>
      <c:catAx>
        <c:axId val="24887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8874783"/>
        <c:crosses val="autoZero"/>
        <c:auto val="1"/>
        <c:lblAlgn val="ctr"/>
        <c:lblOffset val="100"/>
        <c:noMultiLvlLbl val="0"/>
      </c:catAx>
      <c:valAx>
        <c:axId val="24887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887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[sales_analysis_dataset.xlsx]Executive Report!PivotTable5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Report'!$N$9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Report'!$M$10:$M$18</c:f>
              <c:strCache>
                <c:ptCount val="8"/>
                <c:pt idx="0">
                  <c:v>Tablet</c:v>
                </c:pt>
                <c:pt idx="1">
                  <c:v>Keyboard</c:v>
                </c:pt>
                <c:pt idx="2">
                  <c:v>Webcam</c:v>
                </c:pt>
                <c:pt idx="3">
                  <c:v>Mouse</c:v>
                </c:pt>
                <c:pt idx="4">
                  <c:v>Printer</c:v>
                </c:pt>
                <c:pt idx="5">
                  <c:v>Headphones</c:v>
                </c:pt>
                <c:pt idx="6">
                  <c:v>Monitor</c:v>
                </c:pt>
                <c:pt idx="7">
                  <c:v>Laptop</c:v>
                </c:pt>
              </c:strCache>
            </c:strRef>
          </c:cat>
          <c:val>
            <c:numRef>
              <c:f>'Executive Report'!$N$10:$N$18</c:f>
              <c:numCache>
                <c:formatCode>_("$"* #,##0_);_("$"* \(#,##0\);_("$"* "-"_);_(@_)</c:formatCode>
                <c:ptCount val="8"/>
                <c:pt idx="0">
                  <c:v>324763</c:v>
                </c:pt>
                <c:pt idx="1">
                  <c:v>303522</c:v>
                </c:pt>
                <c:pt idx="2">
                  <c:v>296287</c:v>
                </c:pt>
                <c:pt idx="3">
                  <c:v>295446</c:v>
                </c:pt>
                <c:pt idx="4">
                  <c:v>265091</c:v>
                </c:pt>
                <c:pt idx="5">
                  <c:v>263340</c:v>
                </c:pt>
                <c:pt idx="6">
                  <c:v>250583</c:v>
                </c:pt>
                <c:pt idx="7">
                  <c:v>200323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F-414C-AEAE-C0DCBC4C4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3056735"/>
        <c:axId val="2093057695"/>
      </c:barChart>
      <c:catAx>
        <c:axId val="209305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3057695"/>
        <c:crosses val="autoZero"/>
        <c:auto val="1"/>
        <c:lblAlgn val="ctr"/>
        <c:lblOffset val="100"/>
        <c:noMultiLvlLbl val="0"/>
      </c:catAx>
      <c:valAx>
        <c:axId val="209305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305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[sales_analysis_dataset.xlsx]Executive Report!PivotTable6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Report'!$N$33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Report'!$M$34:$M$38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'Executive Report'!$N$34:$N$38</c:f>
              <c:numCache>
                <c:formatCode>_("$"* #,##0_);_("$"* \(#,##0\);_("$"* "-"_);_(@_)</c:formatCode>
                <c:ptCount val="4"/>
                <c:pt idx="0">
                  <c:v>581312</c:v>
                </c:pt>
                <c:pt idx="1">
                  <c:v>558474</c:v>
                </c:pt>
                <c:pt idx="2">
                  <c:v>540121</c:v>
                </c:pt>
                <c:pt idx="3">
                  <c:v>519448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9-4315-A352-7D1CD214A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5540143"/>
        <c:axId val="245529103"/>
      </c:barChart>
      <c:catAx>
        <c:axId val="24554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529103"/>
        <c:crosses val="autoZero"/>
        <c:auto val="1"/>
        <c:lblAlgn val="ctr"/>
        <c:lblOffset val="100"/>
        <c:noMultiLvlLbl val="0"/>
      </c:catAx>
      <c:valAx>
        <c:axId val="24552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554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7</xdr:row>
      <xdr:rowOff>34290</xdr:rowOff>
    </xdr:from>
    <xdr:to>
      <xdr:col>10</xdr:col>
      <xdr:colOff>472440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4262B-7029-DF39-81EA-940DD2BEA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99060</xdr:colOff>
      <xdr:row>31</xdr:row>
      <xdr:rowOff>30480</xdr:rowOff>
    </xdr:from>
    <xdr:to>
      <xdr:col>10</xdr:col>
      <xdr:colOff>403860</xdr:colOff>
      <xdr:row>46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A9C32-D634-6957-1471-7FB4B923F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129540</xdr:colOff>
      <xdr:row>7</xdr:row>
      <xdr:rowOff>68580</xdr:rowOff>
    </xdr:from>
    <xdr:to>
      <xdr:col>23</xdr:col>
      <xdr:colOff>335280</xdr:colOff>
      <xdr:row>22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74D717-06BE-9EEE-8018-F9A01FECC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99060</xdr:colOff>
      <xdr:row>31</xdr:row>
      <xdr:rowOff>91440</xdr:rowOff>
    </xdr:from>
    <xdr:to>
      <xdr:col>23</xdr:col>
      <xdr:colOff>106680</xdr:colOff>
      <xdr:row>46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A8DDC0-7145-F120-74F1-33382417C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34247</xdr:colOff>
      <xdr:row>0</xdr:row>
      <xdr:rowOff>128427</xdr:rowOff>
    </xdr:from>
    <xdr:to>
      <xdr:col>35</xdr:col>
      <xdr:colOff>353516</xdr:colOff>
      <xdr:row>5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F0F25C-8D89-4671-BEED-FCF3CF5ED67E}"/>
            </a:ext>
          </a:extLst>
        </xdr:cNvPr>
        <xdr:cNvSpPr txBox="1"/>
      </xdr:nvSpPr>
      <xdr:spPr>
        <a:xfrm>
          <a:off x="188359" y="128427"/>
          <a:ext cx="22562820" cy="77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>
              <a:latin typeface="Aptos" panose="020B0004020202020204" pitchFamily="34" charset="0"/>
            </a:rPr>
            <a:t>Sales Analytics Report – Sample Project</a:t>
          </a:r>
        </a:p>
        <a:p>
          <a:r>
            <a:rPr lang="es-CL" sz="1200" b="1">
              <a:ln>
                <a:noFill/>
              </a:ln>
              <a:latin typeface="Aptos" panose="020B0004020202020204" pitchFamily="34" charset="0"/>
            </a:rPr>
            <a:t>Exploratory analysis of montlhy sales, sales by product,</a:t>
          </a:r>
          <a:r>
            <a:rPr lang="es-CL" sz="1200" b="1" baseline="0">
              <a:ln>
                <a:noFill/>
              </a:ln>
              <a:latin typeface="Aptos" panose="020B0004020202020204" pitchFamily="34" charset="0"/>
            </a:rPr>
            <a:t> category and region</a:t>
          </a:r>
          <a:endParaRPr lang="es-CL" sz="1200" b="1">
            <a:ln>
              <a:noFill/>
            </a:ln>
            <a:latin typeface="Aptos" panose="020B0004020202020204" pitchFamily="34" charset="0"/>
          </a:endParaRPr>
        </a:p>
        <a:p>
          <a:r>
            <a:rPr lang="es-CL" sz="1100" b="0" i="0">
              <a:ln>
                <a:noFill/>
              </a:ln>
              <a:latin typeface="Aptos" panose="020B0004020202020204" pitchFamily="34" charset="0"/>
            </a:rPr>
            <a:t>Dataset: 856</a:t>
          </a:r>
          <a:r>
            <a:rPr lang="es-CL" sz="1100" b="0" i="0" baseline="0">
              <a:ln>
                <a:noFill/>
              </a:ln>
              <a:latin typeface="Aptos" panose="020B0004020202020204" pitchFamily="34" charset="0"/>
            </a:rPr>
            <a:t> rows</a:t>
          </a:r>
          <a:r>
            <a:rPr lang="es-CL" sz="1100" b="0" i="0">
              <a:ln>
                <a:noFill/>
              </a:ln>
              <a:latin typeface="Aptos" panose="020B0004020202020204" pitchFamily="34" charset="0"/>
            </a:rPr>
            <a:t>| Tool: Microsoft Excel</a:t>
          </a:r>
        </a:p>
      </xdr:txBody>
    </xdr:sp>
    <xdr:clientData/>
  </xdr:twoCellAnchor>
  <xdr:twoCellAnchor>
    <xdr:from>
      <xdr:col>0</xdr:col>
      <xdr:colOff>145550</xdr:colOff>
      <xdr:row>22</xdr:row>
      <xdr:rowOff>154112</xdr:rowOff>
    </xdr:from>
    <xdr:to>
      <xdr:col>10</xdr:col>
      <xdr:colOff>462337</xdr:colOff>
      <xdr:row>29</xdr:row>
      <xdr:rowOff>34248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71D10FE-2F52-40AF-3C1F-EEE41E5BD6D2}"/>
            </a:ext>
          </a:extLst>
        </xdr:cNvPr>
        <xdr:cNvSpPr txBox="1"/>
      </xdr:nvSpPr>
      <xdr:spPr>
        <a:xfrm>
          <a:off x="145550" y="4109663"/>
          <a:ext cx="6721012" cy="1138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-</a:t>
          </a:r>
          <a:r>
            <a:rPr lang="es-CL" sz="1100" baseline="0"/>
            <a:t> </a:t>
          </a:r>
          <a:r>
            <a:rPr lang="es-CL" sz="1100"/>
            <a:t>Sales data was aggregated by month to identify trends and seasonality. </a:t>
          </a:r>
        </a:p>
        <a:p>
          <a:r>
            <a:rPr lang="es-CL" sz="1100"/>
            <a:t>- March shows the highest sales performance, while November records the lowest. </a:t>
          </a:r>
        </a:p>
        <a:p>
          <a:r>
            <a:rPr lang="es-CL" sz="1100"/>
            <a:t>- After a sharp decline from March to April, sales remain relatively stable through mid-year, followed by a recovery toward the end of the year.</a:t>
          </a:r>
        </a:p>
      </xdr:txBody>
    </xdr:sp>
    <xdr:clientData/>
  </xdr:twoCellAnchor>
  <xdr:twoCellAnchor>
    <xdr:from>
      <xdr:col>11</xdr:col>
      <xdr:colOff>75342</xdr:colOff>
      <xdr:row>23</xdr:row>
      <xdr:rowOff>42809</xdr:rowOff>
    </xdr:from>
    <xdr:to>
      <xdr:col>23</xdr:col>
      <xdr:colOff>342472</xdr:colOff>
      <xdr:row>29</xdr:row>
      <xdr:rowOff>58221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E68253F-DF50-4E87-83C7-A0666E720141}"/>
            </a:ext>
          </a:extLst>
        </xdr:cNvPr>
        <xdr:cNvSpPr txBox="1"/>
      </xdr:nvSpPr>
      <xdr:spPr>
        <a:xfrm>
          <a:off x="7087454" y="4178157"/>
          <a:ext cx="7484726" cy="1094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- Product-level analysis shows that Tablet leads total sales, whereas Laptop has the lowest performance. The remaining products display a balanced sales distribution, suggesting diversified demand across the product portfolio.</a:t>
          </a:r>
        </a:p>
      </xdr:txBody>
    </xdr:sp>
    <xdr:clientData/>
  </xdr:twoCellAnchor>
  <xdr:twoCellAnchor>
    <xdr:from>
      <xdr:col>1</xdr:col>
      <xdr:colOff>34248</xdr:colOff>
      <xdr:row>47</xdr:row>
      <xdr:rowOff>0</xdr:rowOff>
    </xdr:from>
    <xdr:to>
      <xdr:col>10</xdr:col>
      <xdr:colOff>505147</xdr:colOff>
      <xdr:row>52</xdr:row>
      <xdr:rowOff>42809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CB17BF-CE98-4358-B768-8CC29548D3CB}"/>
            </a:ext>
          </a:extLst>
        </xdr:cNvPr>
        <xdr:cNvSpPr txBox="1"/>
      </xdr:nvSpPr>
      <xdr:spPr>
        <a:xfrm>
          <a:off x="188360" y="8450494"/>
          <a:ext cx="6721012" cy="9417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- Total sales were compared across product categories. Accessories is the highest-performing category, generating approximately 10% more revenue than Electronics.</a:t>
          </a:r>
        </a:p>
      </xdr:txBody>
    </xdr:sp>
    <xdr:clientData/>
  </xdr:twoCellAnchor>
  <xdr:twoCellAnchor>
    <xdr:from>
      <xdr:col>11</xdr:col>
      <xdr:colOff>119866</xdr:colOff>
      <xdr:row>46</xdr:row>
      <xdr:rowOff>169523</xdr:rowOff>
    </xdr:from>
    <xdr:to>
      <xdr:col>23</xdr:col>
      <xdr:colOff>710629</xdr:colOff>
      <xdr:row>52</xdr:row>
      <xdr:rowOff>68495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FED74F7-A0AF-4896-8BEA-605CB03AB92E}"/>
            </a:ext>
          </a:extLst>
        </xdr:cNvPr>
        <xdr:cNvSpPr txBox="1"/>
      </xdr:nvSpPr>
      <xdr:spPr>
        <a:xfrm>
          <a:off x="7131978" y="8440220"/>
          <a:ext cx="7808359" cy="9777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- Regional sales analysis shows that the West leads total sales, whereas the East has the lowest performance. Overall, sales are fairly evenly distributed across regions, indicating no extreme regional concentration.</a:t>
          </a:r>
        </a:p>
      </xdr:txBody>
    </xdr:sp>
    <xdr:clientData/>
  </xdr:twoCellAnchor>
  <xdr:twoCellAnchor>
    <xdr:from>
      <xdr:col>1</xdr:col>
      <xdr:colOff>51371</xdr:colOff>
      <xdr:row>50</xdr:row>
      <xdr:rowOff>94179</xdr:rowOff>
    </xdr:from>
    <xdr:to>
      <xdr:col>23</xdr:col>
      <xdr:colOff>616449</xdr:colOff>
      <xdr:row>56</xdr:row>
      <xdr:rowOff>177698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E8DB125-3C0C-46C0-AF5C-89CDEFEB1EFA}"/>
            </a:ext>
          </a:extLst>
        </xdr:cNvPr>
        <xdr:cNvSpPr txBox="1"/>
      </xdr:nvSpPr>
      <xdr:spPr>
        <a:xfrm>
          <a:off x="205483" y="9084067"/>
          <a:ext cx="14640674" cy="11623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200" b="1" i="0">
              <a:ln>
                <a:noFill/>
              </a:ln>
              <a:latin typeface="+mn-lt"/>
            </a:rPr>
            <a:t>Overall Conclusions</a:t>
          </a:r>
        </a:p>
        <a:p>
          <a:r>
            <a:rPr lang="es-CL" sz="1100" b="0" i="0">
              <a:ln>
                <a:noFill/>
              </a:ln>
              <a:latin typeface="+mn-lt"/>
            </a:rPr>
            <a:t>- Sales show clear monthly variability, with a peak in March and a noticeable decline toward November, followed by a partial recovery at year-end.</a:t>
          </a:r>
        </a:p>
        <a:p>
          <a:r>
            <a:rPr lang="es-CL" sz="1100" b="0" i="0">
              <a:ln>
                <a:noFill/>
              </a:ln>
              <a:latin typeface="+mn-lt"/>
            </a:rPr>
            <a:t>-</a:t>
          </a:r>
          <a:r>
            <a:rPr lang="es-CL" sz="1100" b="0" i="0" baseline="0">
              <a:ln>
                <a:noFill/>
              </a:ln>
              <a:latin typeface="+mn-lt"/>
            </a:rPr>
            <a:t> </a:t>
          </a:r>
          <a:r>
            <a:rPr lang="es-CL" sz="1100" b="0" i="0">
              <a:ln>
                <a:noFill/>
              </a:ln>
              <a:latin typeface="+mn-lt"/>
            </a:rPr>
            <a:t>Product sales are relatively balanced, with Tablet leading total sales, suggesting diversified demand across the product portfolio.</a:t>
          </a:r>
        </a:p>
        <a:p>
          <a:r>
            <a:rPr lang="es-CL" sz="1100" b="0" i="0">
              <a:ln>
                <a:noFill/>
              </a:ln>
              <a:latin typeface="+mn-lt"/>
            </a:rPr>
            <a:t>-</a:t>
          </a:r>
          <a:r>
            <a:rPr lang="es-CL" sz="1100" b="0" i="0" baseline="0">
              <a:ln>
                <a:noFill/>
              </a:ln>
              <a:latin typeface="+mn-lt"/>
            </a:rPr>
            <a:t> </a:t>
          </a:r>
          <a:r>
            <a:rPr lang="es-CL" sz="1100" b="0" i="0">
              <a:ln>
                <a:noFill/>
              </a:ln>
              <a:latin typeface="+mn-lt"/>
            </a:rPr>
            <a:t>Regional sales are evenly distributed, with the West slightly outperforming other regions, indicating no strong geographic concentration risk.</a:t>
          </a:r>
        </a:p>
        <a:p>
          <a:endParaRPr lang="es-CL" sz="1100" b="0" i="1">
            <a:ln>
              <a:noFill/>
            </a:ln>
            <a:latin typeface="+mn-lt"/>
          </a:endParaRPr>
        </a:p>
        <a:p>
          <a:r>
            <a:rPr lang="es-CL" sz="1100" b="0" i="1">
              <a:ln>
                <a:noFill/>
              </a:ln>
              <a:latin typeface="+mn-lt"/>
            </a:rPr>
            <a:t>Note: This analysis</a:t>
          </a:r>
          <a:r>
            <a:rPr lang="es-CL" sz="1100" b="0" i="1" baseline="0">
              <a:ln>
                <a:noFill/>
              </a:ln>
              <a:latin typeface="+mn-lt"/>
            </a:rPr>
            <a:t> </a:t>
          </a:r>
          <a:r>
            <a:rPr lang="es-CL" sz="1100" b="0" i="1">
              <a:ln>
                <a:noFill/>
              </a:ln>
              <a:latin typeface="+mn-lt"/>
            </a:rPr>
            <a:t>is based on a public sample sales dataset used exclusively for demonstration and portfolio purposes.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Silva" refreshedDate="46007.847627314812" createdVersion="8" refreshedVersion="8" minRefreshableVersion="3" recordCount="856" xr:uid="{9CC01E43-801B-4665-A872-2FA6C62E54BD}">
  <cacheSource type="worksheet">
    <worksheetSource name="Table1_1"/>
  </cacheSource>
  <cacheFields count="10">
    <cacheField name="Order ID" numFmtId="0">
      <sharedItems/>
    </cacheField>
    <cacheField name="Order Date" numFmtId="14">
      <sharedItems containsSemiMixedTypes="0" containsNonDate="0" containsDate="1" containsString="0" minDate="2024-01-01T00:00:00" maxDate="2024-12-31T00:00:00"/>
    </cacheField>
    <cacheField name="Product" numFmtId="0">
      <sharedItems count="8">
        <s v="Mouse"/>
        <s v="Monitor"/>
        <s v="Webcam"/>
        <s v="Headphones"/>
        <s v="Keyboard"/>
        <s v="Printer"/>
        <s v="Tablet"/>
        <s v="Laptop"/>
      </sharedItems>
    </cacheField>
    <cacheField name="Category" numFmtId="0">
      <sharedItems count="2">
        <s v="Accessories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42">
      <sharedItems containsSemiMixedTypes="0" containsString="0" containsNumber="1" containsInteger="1" minValue="16" maxValue="900"/>
    </cacheField>
    <cacheField name="Total Sales" numFmtId="42">
      <sharedItems containsSemiMixedTypes="0" containsString="0" containsNumber="1" containsInteger="1" minValue="21" maxValue="8680"/>
    </cacheField>
    <cacheField name="Region" numFmtId="0">
      <sharedItems count="4">
        <s v="South"/>
        <s v="North"/>
        <s v="East"/>
        <s v="West"/>
      </sharedItems>
    </cacheField>
    <cacheField name="MonthNum" numFmtId="0">
      <sharedItems containsSemiMixedTypes="0" containsString="0" containsNumber="1" containsInteger="1" minValue="1" maxValue="12" count="12">
        <n v="5"/>
        <n v="2"/>
        <n v="1"/>
        <n v="10"/>
        <n v="6"/>
        <n v="7"/>
        <n v="8"/>
        <n v="12"/>
        <n v="11"/>
        <n v="4"/>
        <n v="3"/>
        <n v="9"/>
      </sharedItems>
    </cacheField>
    <cacheField name="Month (EN)" numFmtId="0">
      <sharedItems count="12">
        <s v="May"/>
        <s v="Feb"/>
        <s v="Jan"/>
        <s v="Oct"/>
        <s v="Jun"/>
        <s v="Jul"/>
        <s v="Aug"/>
        <s v="Dec"/>
        <s v="Nov"/>
        <s v="Apr"/>
        <s v="Mar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6">
  <r>
    <s v="ORD-1001"/>
    <d v="2024-05-20T00:00:00"/>
    <x v="0"/>
    <x v="0"/>
    <n v="1"/>
    <n v="774"/>
    <n v="774"/>
    <x v="0"/>
    <x v="0"/>
    <x v="0"/>
  </r>
  <r>
    <s v="ORD-1002"/>
    <d v="2024-02-22T00:00:00"/>
    <x v="1"/>
    <x v="1"/>
    <n v="3"/>
    <n v="769"/>
    <n v="2307"/>
    <x v="1"/>
    <x v="1"/>
    <x v="1"/>
  </r>
  <r>
    <s v="ORD-1003"/>
    <d v="2024-02-17T00:00:00"/>
    <x v="2"/>
    <x v="0"/>
    <n v="1"/>
    <n v="45"/>
    <n v="45"/>
    <x v="0"/>
    <x v="1"/>
    <x v="1"/>
  </r>
  <r>
    <s v="ORD-1004"/>
    <d v="2024-01-14T00:00:00"/>
    <x v="1"/>
    <x v="1"/>
    <n v="9"/>
    <n v="631"/>
    <n v="5679"/>
    <x v="0"/>
    <x v="2"/>
    <x v="2"/>
  </r>
  <r>
    <s v="ORD-1005"/>
    <d v="2024-10-28T00:00:00"/>
    <x v="2"/>
    <x v="0"/>
    <n v="4"/>
    <n v="474"/>
    <n v="1896"/>
    <x v="2"/>
    <x v="3"/>
    <x v="3"/>
  </r>
  <r>
    <s v="ORD-1007"/>
    <d v="2024-06-21T00:00:00"/>
    <x v="3"/>
    <x v="0"/>
    <n v="3"/>
    <n v="235"/>
    <n v="705"/>
    <x v="1"/>
    <x v="4"/>
    <x v="4"/>
  </r>
  <r>
    <s v="ORD-1008"/>
    <d v="2024-07-02T00:00:00"/>
    <x v="0"/>
    <x v="0"/>
    <n v="7"/>
    <n v="114"/>
    <n v="798"/>
    <x v="2"/>
    <x v="5"/>
    <x v="5"/>
  </r>
  <r>
    <s v="ORD-1009"/>
    <d v="2024-08-23T00:00:00"/>
    <x v="3"/>
    <x v="0"/>
    <n v="1"/>
    <n v="762"/>
    <n v="762"/>
    <x v="1"/>
    <x v="6"/>
    <x v="6"/>
  </r>
  <r>
    <s v="ORD-1010"/>
    <d v="2024-05-30T00:00:00"/>
    <x v="2"/>
    <x v="0"/>
    <n v="2"/>
    <n v="580"/>
    <n v="1160"/>
    <x v="2"/>
    <x v="0"/>
    <x v="0"/>
  </r>
  <r>
    <s v="ORD-1011"/>
    <d v="2024-12-04T00:00:00"/>
    <x v="1"/>
    <x v="1"/>
    <n v="2"/>
    <n v="61"/>
    <n v="122"/>
    <x v="0"/>
    <x v="7"/>
    <x v="7"/>
  </r>
  <r>
    <s v="ORD-1013"/>
    <d v="2024-11-21T00:00:00"/>
    <x v="2"/>
    <x v="0"/>
    <n v="5"/>
    <n v="479"/>
    <n v="2395"/>
    <x v="2"/>
    <x v="8"/>
    <x v="8"/>
  </r>
  <r>
    <s v="ORD-1014"/>
    <d v="2024-04-17T00:00:00"/>
    <x v="4"/>
    <x v="0"/>
    <n v="6"/>
    <n v="378"/>
    <n v="2268"/>
    <x v="2"/>
    <x v="9"/>
    <x v="9"/>
  </r>
  <r>
    <s v="ORD-1015"/>
    <d v="2024-03-28T00:00:00"/>
    <x v="0"/>
    <x v="0"/>
    <n v="10"/>
    <n v="665"/>
    <n v="6650"/>
    <x v="0"/>
    <x v="10"/>
    <x v="10"/>
  </r>
  <r>
    <s v="ORD-1016"/>
    <d v="2024-05-18T00:00:00"/>
    <x v="4"/>
    <x v="0"/>
    <n v="8"/>
    <n v="403"/>
    <n v="3224"/>
    <x v="0"/>
    <x v="0"/>
    <x v="0"/>
  </r>
  <r>
    <s v="ORD-1017"/>
    <d v="2024-01-17T00:00:00"/>
    <x v="5"/>
    <x v="1"/>
    <n v="1"/>
    <n v="249"/>
    <n v="249"/>
    <x v="2"/>
    <x v="2"/>
    <x v="2"/>
  </r>
  <r>
    <s v="ORD-1018"/>
    <d v="2024-04-18T00:00:00"/>
    <x v="2"/>
    <x v="0"/>
    <n v="5"/>
    <n v="82"/>
    <n v="410"/>
    <x v="2"/>
    <x v="9"/>
    <x v="9"/>
  </r>
  <r>
    <s v="ORD-1019"/>
    <d v="2024-11-25T00:00:00"/>
    <x v="1"/>
    <x v="1"/>
    <n v="8"/>
    <n v="420"/>
    <n v="3360"/>
    <x v="3"/>
    <x v="8"/>
    <x v="8"/>
  </r>
  <r>
    <s v="ORD-1020"/>
    <d v="2024-05-06T00:00:00"/>
    <x v="4"/>
    <x v="0"/>
    <n v="5"/>
    <n v="157"/>
    <n v="785"/>
    <x v="2"/>
    <x v="0"/>
    <x v="0"/>
  </r>
  <r>
    <s v="ORD-1021"/>
    <d v="2024-07-04T00:00:00"/>
    <x v="2"/>
    <x v="0"/>
    <n v="10"/>
    <n v="423"/>
    <n v="4230"/>
    <x v="0"/>
    <x v="5"/>
    <x v="5"/>
  </r>
  <r>
    <s v="ORD-1022"/>
    <d v="2024-02-16T00:00:00"/>
    <x v="4"/>
    <x v="0"/>
    <n v="9"/>
    <n v="520"/>
    <n v="4680"/>
    <x v="1"/>
    <x v="1"/>
    <x v="1"/>
  </r>
  <r>
    <s v="ORD-1023"/>
    <d v="2024-03-22T00:00:00"/>
    <x v="0"/>
    <x v="0"/>
    <n v="3"/>
    <n v="657"/>
    <n v="1971"/>
    <x v="3"/>
    <x v="10"/>
    <x v="10"/>
  </r>
  <r>
    <s v="ORD-1024"/>
    <d v="2024-11-01T00:00:00"/>
    <x v="0"/>
    <x v="0"/>
    <n v="7"/>
    <n v="405"/>
    <n v="2835"/>
    <x v="3"/>
    <x v="8"/>
    <x v="8"/>
  </r>
  <r>
    <s v="ORD-1025"/>
    <d v="2024-01-06T00:00:00"/>
    <x v="3"/>
    <x v="0"/>
    <n v="9"/>
    <n v="896"/>
    <n v="8064"/>
    <x v="1"/>
    <x v="2"/>
    <x v="2"/>
  </r>
  <r>
    <s v="ORD-1026"/>
    <d v="2024-05-30T00:00:00"/>
    <x v="3"/>
    <x v="0"/>
    <n v="6"/>
    <n v="129"/>
    <n v="774"/>
    <x v="3"/>
    <x v="0"/>
    <x v="0"/>
  </r>
  <r>
    <s v="ORD-1027"/>
    <d v="2024-05-14T00:00:00"/>
    <x v="4"/>
    <x v="0"/>
    <n v="8"/>
    <n v="18"/>
    <n v="144"/>
    <x v="0"/>
    <x v="0"/>
    <x v="0"/>
  </r>
  <r>
    <s v="ORD-1028"/>
    <d v="2024-11-23T00:00:00"/>
    <x v="0"/>
    <x v="0"/>
    <n v="5"/>
    <n v="876"/>
    <n v="4380"/>
    <x v="0"/>
    <x v="8"/>
    <x v="8"/>
  </r>
  <r>
    <s v="ORD-1029"/>
    <d v="2024-03-23T00:00:00"/>
    <x v="4"/>
    <x v="0"/>
    <n v="6"/>
    <n v="795"/>
    <n v="4770"/>
    <x v="1"/>
    <x v="10"/>
    <x v="10"/>
  </r>
  <r>
    <s v="ORD-1030"/>
    <d v="2024-02-27T00:00:00"/>
    <x v="5"/>
    <x v="1"/>
    <n v="8"/>
    <n v="34"/>
    <n v="272"/>
    <x v="2"/>
    <x v="1"/>
    <x v="1"/>
  </r>
  <r>
    <s v="ORD-1031"/>
    <d v="2024-05-03T00:00:00"/>
    <x v="3"/>
    <x v="0"/>
    <n v="4"/>
    <n v="74"/>
    <n v="296"/>
    <x v="1"/>
    <x v="0"/>
    <x v="0"/>
  </r>
  <r>
    <s v="ORD-1032"/>
    <d v="2024-02-05T00:00:00"/>
    <x v="0"/>
    <x v="0"/>
    <n v="8"/>
    <n v="850"/>
    <n v="6800"/>
    <x v="0"/>
    <x v="1"/>
    <x v="1"/>
  </r>
  <r>
    <s v="ORD-1033"/>
    <d v="2024-03-25T00:00:00"/>
    <x v="4"/>
    <x v="0"/>
    <n v="8"/>
    <n v="577"/>
    <n v="4616"/>
    <x v="2"/>
    <x v="10"/>
    <x v="10"/>
  </r>
  <r>
    <s v="ORD-1034"/>
    <d v="2024-12-19T00:00:00"/>
    <x v="2"/>
    <x v="0"/>
    <n v="4"/>
    <n v="567"/>
    <n v="2268"/>
    <x v="0"/>
    <x v="7"/>
    <x v="7"/>
  </r>
  <r>
    <s v="ORD-1035"/>
    <d v="2024-11-28T00:00:00"/>
    <x v="3"/>
    <x v="0"/>
    <n v="7"/>
    <n v="702"/>
    <n v="4914"/>
    <x v="2"/>
    <x v="8"/>
    <x v="8"/>
  </r>
  <r>
    <s v="ORD-1036"/>
    <d v="2024-03-02T00:00:00"/>
    <x v="6"/>
    <x v="1"/>
    <n v="9"/>
    <n v="477"/>
    <n v="4293"/>
    <x v="0"/>
    <x v="10"/>
    <x v="10"/>
  </r>
  <r>
    <s v="ORD-1037"/>
    <d v="2024-01-11T00:00:00"/>
    <x v="1"/>
    <x v="1"/>
    <n v="2"/>
    <n v="361"/>
    <n v="722"/>
    <x v="0"/>
    <x v="2"/>
    <x v="2"/>
  </r>
  <r>
    <s v="ORD-1038"/>
    <d v="2024-12-28T00:00:00"/>
    <x v="1"/>
    <x v="1"/>
    <n v="1"/>
    <n v="87"/>
    <n v="87"/>
    <x v="1"/>
    <x v="7"/>
    <x v="7"/>
  </r>
  <r>
    <s v="ORD-1039"/>
    <d v="2024-06-18T00:00:00"/>
    <x v="1"/>
    <x v="1"/>
    <n v="2"/>
    <n v="47"/>
    <n v="94"/>
    <x v="1"/>
    <x v="4"/>
    <x v="4"/>
  </r>
  <r>
    <s v="ORD-1040"/>
    <d v="2024-09-05T00:00:00"/>
    <x v="1"/>
    <x v="1"/>
    <n v="5"/>
    <n v="700"/>
    <n v="3500"/>
    <x v="0"/>
    <x v="11"/>
    <x v="11"/>
  </r>
  <r>
    <s v="ORD-1041"/>
    <d v="2024-08-30T00:00:00"/>
    <x v="4"/>
    <x v="0"/>
    <n v="10"/>
    <n v="605"/>
    <n v="6050"/>
    <x v="0"/>
    <x v="6"/>
    <x v="6"/>
  </r>
  <r>
    <s v="ORD-1042"/>
    <d v="2024-02-18T00:00:00"/>
    <x v="6"/>
    <x v="1"/>
    <n v="7"/>
    <n v="209"/>
    <n v="1463"/>
    <x v="1"/>
    <x v="1"/>
    <x v="1"/>
  </r>
  <r>
    <s v="ORD-1044"/>
    <d v="2024-07-25T00:00:00"/>
    <x v="7"/>
    <x v="1"/>
    <n v="2"/>
    <n v="77"/>
    <n v="154"/>
    <x v="2"/>
    <x v="5"/>
    <x v="5"/>
  </r>
  <r>
    <s v="ORD-1045"/>
    <d v="2024-04-07T00:00:00"/>
    <x v="0"/>
    <x v="0"/>
    <n v="4"/>
    <n v="211"/>
    <n v="844"/>
    <x v="3"/>
    <x v="9"/>
    <x v="9"/>
  </r>
  <r>
    <s v="ORD-1046"/>
    <d v="2024-05-22T00:00:00"/>
    <x v="4"/>
    <x v="0"/>
    <n v="7"/>
    <n v="202"/>
    <n v="1414"/>
    <x v="3"/>
    <x v="0"/>
    <x v="0"/>
  </r>
  <r>
    <s v="ORD-1047"/>
    <d v="2024-10-08T00:00:00"/>
    <x v="1"/>
    <x v="1"/>
    <n v="2"/>
    <n v="468"/>
    <n v="936"/>
    <x v="1"/>
    <x v="3"/>
    <x v="3"/>
  </r>
  <r>
    <s v="ORD-1048"/>
    <d v="2024-01-08T00:00:00"/>
    <x v="7"/>
    <x v="1"/>
    <n v="9"/>
    <n v="871"/>
    <n v="7839"/>
    <x v="1"/>
    <x v="2"/>
    <x v="2"/>
  </r>
  <r>
    <s v="ORD-1049"/>
    <d v="2024-09-05T00:00:00"/>
    <x v="1"/>
    <x v="1"/>
    <n v="3"/>
    <n v="431"/>
    <n v="1293"/>
    <x v="3"/>
    <x v="11"/>
    <x v="11"/>
  </r>
  <r>
    <s v="ORD-1050"/>
    <d v="2024-03-25T00:00:00"/>
    <x v="1"/>
    <x v="1"/>
    <n v="7"/>
    <n v="75"/>
    <n v="525"/>
    <x v="3"/>
    <x v="10"/>
    <x v="10"/>
  </r>
  <r>
    <s v="ORD-1051"/>
    <d v="2024-08-20T00:00:00"/>
    <x v="7"/>
    <x v="1"/>
    <n v="7"/>
    <n v="286"/>
    <n v="2002"/>
    <x v="2"/>
    <x v="6"/>
    <x v="6"/>
  </r>
  <r>
    <s v="ORD-1052"/>
    <d v="2024-09-06T00:00:00"/>
    <x v="2"/>
    <x v="0"/>
    <n v="9"/>
    <n v="692"/>
    <n v="6228"/>
    <x v="0"/>
    <x v="11"/>
    <x v="11"/>
  </r>
  <r>
    <s v="ORD-1053"/>
    <d v="2024-01-30T00:00:00"/>
    <x v="1"/>
    <x v="1"/>
    <n v="5"/>
    <n v="237"/>
    <n v="1185"/>
    <x v="1"/>
    <x v="2"/>
    <x v="2"/>
  </r>
  <r>
    <s v="ORD-1054"/>
    <d v="2024-10-26T00:00:00"/>
    <x v="5"/>
    <x v="1"/>
    <n v="1"/>
    <n v="66"/>
    <n v="66"/>
    <x v="3"/>
    <x v="3"/>
    <x v="3"/>
  </r>
  <r>
    <s v="ORD-1055"/>
    <d v="2024-02-11T00:00:00"/>
    <x v="4"/>
    <x v="0"/>
    <n v="1"/>
    <n v="535"/>
    <n v="535"/>
    <x v="0"/>
    <x v="1"/>
    <x v="1"/>
  </r>
  <r>
    <s v="ORD-1057"/>
    <d v="2024-05-06T00:00:00"/>
    <x v="2"/>
    <x v="0"/>
    <n v="2"/>
    <n v="598"/>
    <n v="1196"/>
    <x v="1"/>
    <x v="0"/>
    <x v="0"/>
  </r>
  <r>
    <s v="ORD-1058"/>
    <d v="2024-10-25T00:00:00"/>
    <x v="0"/>
    <x v="0"/>
    <n v="7"/>
    <n v="688"/>
    <n v="4816"/>
    <x v="2"/>
    <x v="3"/>
    <x v="3"/>
  </r>
  <r>
    <s v="ORD-1059"/>
    <d v="2024-06-09T00:00:00"/>
    <x v="3"/>
    <x v="0"/>
    <n v="4"/>
    <n v="700"/>
    <n v="2800"/>
    <x v="0"/>
    <x v="4"/>
    <x v="4"/>
  </r>
  <r>
    <s v="ORD-1060"/>
    <d v="2024-12-09T00:00:00"/>
    <x v="3"/>
    <x v="0"/>
    <n v="7"/>
    <n v="149"/>
    <n v="1043"/>
    <x v="2"/>
    <x v="7"/>
    <x v="7"/>
  </r>
  <r>
    <s v="ORD-1061"/>
    <d v="2024-02-07T00:00:00"/>
    <x v="6"/>
    <x v="1"/>
    <n v="6"/>
    <n v="784"/>
    <n v="4704"/>
    <x v="1"/>
    <x v="1"/>
    <x v="1"/>
  </r>
  <r>
    <s v="ORD-1062"/>
    <d v="2024-02-21T00:00:00"/>
    <x v="6"/>
    <x v="1"/>
    <n v="10"/>
    <n v="591"/>
    <n v="5910"/>
    <x v="1"/>
    <x v="1"/>
    <x v="1"/>
  </r>
  <r>
    <s v="ORD-1063"/>
    <d v="2024-03-08T00:00:00"/>
    <x v="1"/>
    <x v="1"/>
    <n v="9"/>
    <n v="286"/>
    <n v="2574"/>
    <x v="2"/>
    <x v="10"/>
    <x v="10"/>
  </r>
  <r>
    <s v="ORD-1064"/>
    <d v="2024-05-25T00:00:00"/>
    <x v="0"/>
    <x v="0"/>
    <n v="4"/>
    <n v="393"/>
    <n v="1572"/>
    <x v="0"/>
    <x v="0"/>
    <x v="0"/>
  </r>
  <r>
    <s v="ORD-1065"/>
    <d v="2024-06-03T00:00:00"/>
    <x v="6"/>
    <x v="1"/>
    <n v="9"/>
    <n v="735"/>
    <n v="6615"/>
    <x v="1"/>
    <x v="4"/>
    <x v="4"/>
  </r>
  <r>
    <s v="ORD-1066"/>
    <d v="2024-05-15T00:00:00"/>
    <x v="3"/>
    <x v="0"/>
    <n v="2"/>
    <n v="152"/>
    <n v="304"/>
    <x v="1"/>
    <x v="0"/>
    <x v="0"/>
  </r>
  <r>
    <s v="ORD-1067"/>
    <d v="2024-05-19T00:00:00"/>
    <x v="0"/>
    <x v="0"/>
    <n v="9"/>
    <n v="174"/>
    <n v="1566"/>
    <x v="2"/>
    <x v="0"/>
    <x v="0"/>
  </r>
  <r>
    <s v="ORD-1068"/>
    <d v="2024-12-17T00:00:00"/>
    <x v="1"/>
    <x v="1"/>
    <n v="6"/>
    <n v="223"/>
    <n v="1338"/>
    <x v="2"/>
    <x v="7"/>
    <x v="7"/>
  </r>
  <r>
    <s v="ORD-1069"/>
    <d v="2024-01-27T00:00:00"/>
    <x v="6"/>
    <x v="1"/>
    <n v="5"/>
    <n v="881"/>
    <n v="4405"/>
    <x v="1"/>
    <x v="2"/>
    <x v="2"/>
  </r>
  <r>
    <s v="ORD-1070"/>
    <d v="2024-01-02T00:00:00"/>
    <x v="2"/>
    <x v="0"/>
    <n v="5"/>
    <n v="60"/>
    <n v="300"/>
    <x v="2"/>
    <x v="2"/>
    <x v="2"/>
  </r>
  <r>
    <s v="ORD-1071"/>
    <d v="2024-08-14T00:00:00"/>
    <x v="4"/>
    <x v="0"/>
    <n v="5"/>
    <n v="180"/>
    <n v="900"/>
    <x v="3"/>
    <x v="6"/>
    <x v="6"/>
  </r>
  <r>
    <s v="ORD-1072"/>
    <d v="2024-12-19T00:00:00"/>
    <x v="7"/>
    <x v="1"/>
    <n v="2"/>
    <n v="92"/>
    <n v="184"/>
    <x v="0"/>
    <x v="7"/>
    <x v="7"/>
  </r>
  <r>
    <s v="ORD-1073"/>
    <d v="2024-10-09T00:00:00"/>
    <x v="7"/>
    <x v="1"/>
    <n v="6"/>
    <n v="611"/>
    <n v="3666"/>
    <x v="0"/>
    <x v="3"/>
    <x v="3"/>
  </r>
  <r>
    <s v="ORD-1074"/>
    <d v="2024-06-06T00:00:00"/>
    <x v="2"/>
    <x v="0"/>
    <n v="3"/>
    <n v="57"/>
    <n v="171"/>
    <x v="2"/>
    <x v="4"/>
    <x v="4"/>
  </r>
  <r>
    <s v="ORD-1075"/>
    <d v="2024-12-15T00:00:00"/>
    <x v="7"/>
    <x v="1"/>
    <n v="6"/>
    <n v="230"/>
    <n v="1380"/>
    <x v="0"/>
    <x v="7"/>
    <x v="7"/>
  </r>
  <r>
    <s v="ORD-1076"/>
    <d v="2024-10-13T00:00:00"/>
    <x v="0"/>
    <x v="0"/>
    <n v="6"/>
    <n v="813"/>
    <n v="4878"/>
    <x v="3"/>
    <x v="3"/>
    <x v="3"/>
  </r>
  <r>
    <s v="ORD-1077"/>
    <d v="2024-03-24T00:00:00"/>
    <x v="4"/>
    <x v="0"/>
    <n v="4"/>
    <n v="900"/>
    <n v="3600"/>
    <x v="0"/>
    <x v="10"/>
    <x v="10"/>
  </r>
  <r>
    <s v="ORD-1078"/>
    <d v="2024-06-19T00:00:00"/>
    <x v="2"/>
    <x v="0"/>
    <n v="1"/>
    <n v="198"/>
    <n v="198"/>
    <x v="3"/>
    <x v="4"/>
    <x v="4"/>
  </r>
  <r>
    <s v="ORD-1079"/>
    <d v="2024-12-25T00:00:00"/>
    <x v="1"/>
    <x v="1"/>
    <n v="5"/>
    <n v="178"/>
    <n v="890"/>
    <x v="1"/>
    <x v="7"/>
    <x v="7"/>
  </r>
  <r>
    <s v="ORD-1080"/>
    <d v="2024-08-28T00:00:00"/>
    <x v="2"/>
    <x v="0"/>
    <n v="1"/>
    <n v="894"/>
    <n v="894"/>
    <x v="0"/>
    <x v="6"/>
    <x v="6"/>
  </r>
  <r>
    <s v="ORD-1081"/>
    <d v="2024-06-05T00:00:00"/>
    <x v="1"/>
    <x v="1"/>
    <n v="8"/>
    <n v="373"/>
    <n v="2984"/>
    <x v="0"/>
    <x v="4"/>
    <x v="4"/>
  </r>
  <r>
    <s v="ORD-1082"/>
    <d v="2024-04-08T00:00:00"/>
    <x v="1"/>
    <x v="1"/>
    <n v="1"/>
    <n v="690"/>
    <n v="690"/>
    <x v="3"/>
    <x v="9"/>
    <x v="9"/>
  </r>
  <r>
    <s v="ORD-1083"/>
    <d v="2024-02-05T00:00:00"/>
    <x v="5"/>
    <x v="1"/>
    <n v="5"/>
    <n v="900"/>
    <n v="4500"/>
    <x v="2"/>
    <x v="1"/>
    <x v="1"/>
  </r>
  <r>
    <s v="ORD-1084"/>
    <d v="2024-12-13T00:00:00"/>
    <x v="5"/>
    <x v="1"/>
    <n v="9"/>
    <n v="424"/>
    <n v="3816"/>
    <x v="2"/>
    <x v="7"/>
    <x v="7"/>
  </r>
  <r>
    <s v="ORD-1085"/>
    <d v="2024-04-01T00:00:00"/>
    <x v="7"/>
    <x v="1"/>
    <n v="2"/>
    <n v="282"/>
    <n v="564"/>
    <x v="2"/>
    <x v="9"/>
    <x v="9"/>
  </r>
  <r>
    <s v="ORD-1086"/>
    <d v="2024-08-10T00:00:00"/>
    <x v="7"/>
    <x v="1"/>
    <n v="2"/>
    <n v="625"/>
    <n v="1250"/>
    <x v="2"/>
    <x v="6"/>
    <x v="6"/>
  </r>
  <r>
    <s v="ORD-1087"/>
    <d v="2024-09-18T00:00:00"/>
    <x v="5"/>
    <x v="1"/>
    <n v="7"/>
    <n v="635"/>
    <n v="4445"/>
    <x v="1"/>
    <x v="11"/>
    <x v="11"/>
  </r>
  <r>
    <s v="ORD-1089"/>
    <d v="2024-10-02T00:00:00"/>
    <x v="2"/>
    <x v="0"/>
    <n v="1"/>
    <n v="547"/>
    <n v="547"/>
    <x v="0"/>
    <x v="3"/>
    <x v="3"/>
  </r>
  <r>
    <s v="ORD-1090"/>
    <d v="2024-12-06T00:00:00"/>
    <x v="5"/>
    <x v="1"/>
    <n v="7"/>
    <n v="86"/>
    <n v="602"/>
    <x v="2"/>
    <x v="7"/>
    <x v="7"/>
  </r>
  <r>
    <s v="ORD-1091"/>
    <d v="2024-06-02T00:00:00"/>
    <x v="5"/>
    <x v="1"/>
    <n v="2"/>
    <n v="752"/>
    <n v="1504"/>
    <x v="2"/>
    <x v="4"/>
    <x v="4"/>
  </r>
  <r>
    <s v="ORD-1092"/>
    <d v="2024-12-22T00:00:00"/>
    <x v="2"/>
    <x v="0"/>
    <n v="6"/>
    <n v="427"/>
    <n v="2562"/>
    <x v="2"/>
    <x v="7"/>
    <x v="7"/>
  </r>
  <r>
    <s v="ORD-1093"/>
    <d v="2024-12-06T00:00:00"/>
    <x v="4"/>
    <x v="0"/>
    <n v="4"/>
    <n v="445"/>
    <n v="1780"/>
    <x v="3"/>
    <x v="7"/>
    <x v="7"/>
  </r>
  <r>
    <s v="ORD-1094"/>
    <d v="2024-06-03T00:00:00"/>
    <x v="4"/>
    <x v="0"/>
    <n v="10"/>
    <n v="597"/>
    <n v="5970"/>
    <x v="3"/>
    <x v="4"/>
    <x v="4"/>
  </r>
  <r>
    <s v="ORD-1095"/>
    <d v="2024-04-17T00:00:00"/>
    <x v="7"/>
    <x v="1"/>
    <n v="5"/>
    <n v="308"/>
    <n v="1540"/>
    <x v="3"/>
    <x v="9"/>
    <x v="9"/>
  </r>
  <r>
    <s v="ORD-1096"/>
    <d v="2024-08-14T00:00:00"/>
    <x v="5"/>
    <x v="1"/>
    <n v="8"/>
    <n v="467"/>
    <n v="3736"/>
    <x v="0"/>
    <x v="6"/>
    <x v="6"/>
  </r>
  <r>
    <s v="ORD-1097"/>
    <d v="2024-02-13T00:00:00"/>
    <x v="6"/>
    <x v="1"/>
    <n v="3"/>
    <n v="689"/>
    <n v="2067"/>
    <x v="2"/>
    <x v="1"/>
    <x v="1"/>
  </r>
  <r>
    <s v="ORD-1098"/>
    <d v="2024-04-30T00:00:00"/>
    <x v="5"/>
    <x v="1"/>
    <n v="2"/>
    <n v="853"/>
    <n v="1706"/>
    <x v="2"/>
    <x v="9"/>
    <x v="9"/>
  </r>
  <r>
    <s v="ORD-1099"/>
    <d v="2024-01-13T00:00:00"/>
    <x v="1"/>
    <x v="1"/>
    <n v="4"/>
    <n v="165"/>
    <n v="660"/>
    <x v="1"/>
    <x v="2"/>
    <x v="2"/>
  </r>
  <r>
    <s v="ORD-1100"/>
    <d v="2024-02-07T00:00:00"/>
    <x v="1"/>
    <x v="1"/>
    <n v="8"/>
    <n v="640"/>
    <n v="5120"/>
    <x v="3"/>
    <x v="1"/>
    <x v="1"/>
  </r>
  <r>
    <s v="ORD-1101"/>
    <d v="2024-12-22T00:00:00"/>
    <x v="2"/>
    <x v="0"/>
    <n v="10"/>
    <n v="214"/>
    <n v="2140"/>
    <x v="3"/>
    <x v="7"/>
    <x v="7"/>
  </r>
  <r>
    <s v="ORD-1102"/>
    <d v="2024-03-16T00:00:00"/>
    <x v="6"/>
    <x v="1"/>
    <n v="7"/>
    <n v="264"/>
    <n v="1848"/>
    <x v="1"/>
    <x v="10"/>
    <x v="10"/>
  </r>
  <r>
    <s v="ORD-1103"/>
    <d v="2024-03-31T00:00:00"/>
    <x v="0"/>
    <x v="0"/>
    <n v="7"/>
    <n v="239"/>
    <n v="1673"/>
    <x v="3"/>
    <x v="10"/>
    <x v="10"/>
  </r>
  <r>
    <s v="ORD-1104"/>
    <d v="2024-03-03T00:00:00"/>
    <x v="7"/>
    <x v="1"/>
    <n v="9"/>
    <n v="270"/>
    <n v="2430"/>
    <x v="3"/>
    <x v="10"/>
    <x v="10"/>
  </r>
  <r>
    <s v="ORD-1105"/>
    <d v="2024-09-28T00:00:00"/>
    <x v="4"/>
    <x v="0"/>
    <n v="8"/>
    <n v="698"/>
    <n v="5584"/>
    <x v="2"/>
    <x v="11"/>
    <x v="11"/>
  </r>
  <r>
    <s v="ORD-1106"/>
    <d v="2024-09-15T00:00:00"/>
    <x v="6"/>
    <x v="1"/>
    <n v="10"/>
    <n v="849"/>
    <n v="8490"/>
    <x v="3"/>
    <x v="11"/>
    <x v="11"/>
  </r>
  <r>
    <s v="ORD-1107"/>
    <d v="2024-08-31T00:00:00"/>
    <x v="6"/>
    <x v="1"/>
    <n v="3"/>
    <n v="776"/>
    <n v="2328"/>
    <x v="3"/>
    <x v="6"/>
    <x v="6"/>
  </r>
  <r>
    <s v="ORD-1108"/>
    <d v="2024-11-22T00:00:00"/>
    <x v="3"/>
    <x v="0"/>
    <n v="4"/>
    <n v="875"/>
    <n v="3500"/>
    <x v="2"/>
    <x v="8"/>
    <x v="8"/>
  </r>
  <r>
    <s v="ORD-1109"/>
    <d v="2024-08-13T00:00:00"/>
    <x v="6"/>
    <x v="1"/>
    <n v="4"/>
    <n v="296"/>
    <n v="1184"/>
    <x v="1"/>
    <x v="6"/>
    <x v="6"/>
  </r>
  <r>
    <s v="ORD-1110"/>
    <d v="2024-06-20T00:00:00"/>
    <x v="3"/>
    <x v="0"/>
    <n v="4"/>
    <n v="293"/>
    <n v="1172"/>
    <x v="2"/>
    <x v="4"/>
    <x v="4"/>
  </r>
  <r>
    <s v="ORD-1111"/>
    <d v="2024-04-28T00:00:00"/>
    <x v="0"/>
    <x v="0"/>
    <n v="3"/>
    <n v="169"/>
    <n v="507"/>
    <x v="3"/>
    <x v="9"/>
    <x v="9"/>
  </r>
  <r>
    <s v="ORD-1112"/>
    <d v="2024-07-31T00:00:00"/>
    <x v="4"/>
    <x v="0"/>
    <n v="4"/>
    <n v="80"/>
    <n v="320"/>
    <x v="3"/>
    <x v="5"/>
    <x v="5"/>
  </r>
  <r>
    <s v="ORD-1113"/>
    <d v="2024-07-31T00:00:00"/>
    <x v="5"/>
    <x v="1"/>
    <n v="9"/>
    <n v="492"/>
    <n v="4428"/>
    <x v="1"/>
    <x v="5"/>
    <x v="5"/>
  </r>
  <r>
    <s v="ORD-1114"/>
    <d v="2024-10-26T00:00:00"/>
    <x v="1"/>
    <x v="1"/>
    <n v="7"/>
    <n v="413"/>
    <n v="2891"/>
    <x v="1"/>
    <x v="3"/>
    <x v="3"/>
  </r>
  <r>
    <s v="ORD-1115"/>
    <d v="2024-06-29T00:00:00"/>
    <x v="2"/>
    <x v="0"/>
    <n v="8"/>
    <n v="21"/>
    <n v="168"/>
    <x v="2"/>
    <x v="4"/>
    <x v="4"/>
  </r>
  <r>
    <s v="ORD-1116"/>
    <d v="2024-10-06T00:00:00"/>
    <x v="2"/>
    <x v="0"/>
    <n v="7"/>
    <n v="566"/>
    <n v="3962"/>
    <x v="0"/>
    <x v="3"/>
    <x v="3"/>
  </r>
  <r>
    <s v="ORD-1117"/>
    <d v="2024-08-11T00:00:00"/>
    <x v="6"/>
    <x v="1"/>
    <n v="4"/>
    <n v="294"/>
    <n v="1176"/>
    <x v="3"/>
    <x v="6"/>
    <x v="6"/>
  </r>
  <r>
    <s v="ORD-1119"/>
    <d v="2024-11-14T00:00:00"/>
    <x v="4"/>
    <x v="0"/>
    <n v="8"/>
    <n v="145"/>
    <n v="1160"/>
    <x v="1"/>
    <x v="8"/>
    <x v="8"/>
  </r>
  <r>
    <s v="ORD-1120"/>
    <d v="2024-12-05T00:00:00"/>
    <x v="2"/>
    <x v="0"/>
    <n v="10"/>
    <n v="592"/>
    <n v="5920"/>
    <x v="1"/>
    <x v="7"/>
    <x v="7"/>
  </r>
  <r>
    <s v="ORD-1121"/>
    <d v="2024-08-24T00:00:00"/>
    <x v="0"/>
    <x v="0"/>
    <n v="7"/>
    <n v="153"/>
    <n v="1071"/>
    <x v="0"/>
    <x v="6"/>
    <x v="6"/>
  </r>
  <r>
    <s v="ORD-1122"/>
    <d v="2024-06-16T00:00:00"/>
    <x v="7"/>
    <x v="1"/>
    <n v="5"/>
    <n v="403"/>
    <n v="2015"/>
    <x v="0"/>
    <x v="4"/>
    <x v="4"/>
  </r>
  <r>
    <s v="ORD-1123"/>
    <d v="2024-07-13T00:00:00"/>
    <x v="6"/>
    <x v="1"/>
    <n v="6"/>
    <n v="360"/>
    <n v="2160"/>
    <x v="2"/>
    <x v="5"/>
    <x v="5"/>
  </r>
  <r>
    <s v="ORD-1124"/>
    <d v="2024-02-11T00:00:00"/>
    <x v="2"/>
    <x v="0"/>
    <n v="5"/>
    <n v="869"/>
    <n v="4345"/>
    <x v="3"/>
    <x v="1"/>
    <x v="1"/>
  </r>
  <r>
    <s v="ORD-1125"/>
    <d v="2024-06-28T00:00:00"/>
    <x v="7"/>
    <x v="1"/>
    <n v="9"/>
    <n v="68"/>
    <n v="612"/>
    <x v="0"/>
    <x v="4"/>
    <x v="4"/>
  </r>
  <r>
    <s v="ORD-1126"/>
    <d v="2024-01-16T00:00:00"/>
    <x v="0"/>
    <x v="0"/>
    <n v="1"/>
    <n v="787"/>
    <n v="787"/>
    <x v="0"/>
    <x v="2"/>
    <x v="2"/>
  </r>
  <r>
    <s v="ORD-1128"/>
    <d v="2024-02-28T00:00:00"/>
    <x v="4"/>
    <x v="0"/>
    <n v="8"/>
    <n v="700"/>
    <n v="5600"/>
    <x v="0"/>
    <x v="1"/>
    <x v="1"/>
  </r>
  <r>
    <s v="ORD-1129"/>
    <d v="2024-07-07T00:00:00"/>
    <x v="6"/>
    <x v="1"/>
    <n v="5"/>
    <n v="800"/>
    <n v="4000"/>
    <x v="0"/>
    <x v="5"/>
    <x v="5"/>
  </r>
  <r>
    <s v="ORD-1130"/>
    <d v="2024-02-25T00:00:00"/>
    <x v="0"/>
    <x v="0"/>
    <n v="3"/>
    <n v="333"/>
    <n v="999"/>
    <x v="1"/>
    <x v="1"/>
    <x v="1"/>
  </r>
  <r>
    <s v="ORD-1131"/>
    <d v="2024-07-11T00:00:00"/>
    <x v="3"/>
    <x v="0"/>
    <n v="10"/>
    <n v="708"/>
    <n v="7080"/>
    <x v="3"/>
    <x v="5"/>
    <x v="5"/>
  </r>
  <r>
    <s v="ORD-1132"/>
    <d v="2024-12-19T00:00:00"/>
    <x v="1"/>
    <x v="1"/>
    <n v="2"/>
    <n v="621"/>
    <n v="1242"/>
    <x v="0"/>
    <x v="7"/>
    <x v="7"/>
  </r>
  <r>
    <s v="ORD-1133"/>
    <d v="2024-12-16T00:00:00"/>
    <x v="0"/>
    <x v="0"/>
    <n v="5"/>
    <n v="885"/>
    <n v="4425"/>
    <x v="1"/>
    <x v="7"/>
    <x v="7"/>
  </r>
  <r>
    <s v="ORD-1134"/>
    <d v="2024-08-07T00:00:00"/>
    <x v="7"/>
    <x v="1"/>
    <n v="6"/>
    <n v="560"/>
    <n v="3360"/>
    <x v="2"/>
    <x v="6"/>
    <x v="6"/>
  </r>
  <r>
    <s v="ORD-1135"/>
    <d v="2024-06-23T00:00:00"/>
    <x v="0"/>
    <x v="0"/>
    <n v="9"/>
    <n v="678"/>
    <n v="6102"/>
    <x v="1"/>
    <x v="4"/>
    <x v="4"/>
  </r>
  <r>
    <s v="ORD-1136"/>
    <d v="2024-08-09T00:00:00"/>
    <x v="2"/>
    <x v="0"/>
    <n v="8"/>
    <n v="123"/>
    <n v="984"/>
    <x v="2"/>
    <x v="6"/>
    <x v="6"/>
  </r>
  <r>
    <s v="ORD-1137"/>
    <d v="2024-03-31T00:00:00"/>
    <x v="6"/>
    <x v="1"/>
    <n v="3"/>
    <n v="460"/>
    <n v="1380"/>
    <x v="2"/>
    <x v="10"/>
    <x v="10"/>
  </r>
  <r>
    <s v="ORD-1138"/>
    <d v="2024-10-30T00:00:00"/>
    <x v="6"/>
    <x v="1"/>
    <n v="8"/>
    <n v="461"/>
    <n v="3688"/>
    <x v="2"/>
    <x v="3"/>
    <x v="3"/>
  </r>
  <r>
    <s v="ORD-1139"/>
    <d v="2024-02-14T00:00:00"/>
    <x v="5"/>
    <x v="1"/>
    <n v="4"/>
    <n v="865"/>
    <n v="3460"/>
    <x v="2"/>
    <x v="1"/>
    <x v="1"/>
  </r>
  <r>
    <s v="ORD-1140"/>
    <d v="2024-08-25T00:00:00"/>
    <x v="6"/>
    <x v="1"/>
    <n v="4"/>
    <n v="783"/>
    <n v="3132"/>
    <x v="3"/>
    <x v="6"/>
    <x v="6"/>
  </r>
  <r>
    <s v="ORD-1141"/>
    <d v="2024-06-15T00:00:00"/>
    <x v="5"/>
    <x v="1"/>
    <n v="1"/>
    <n v="521"/>
    <n v="521"/>
    <x v="0"/>
    <x v="4"/>
    <x v="4"/>
  </r>
  <r>
    <s v="ORD-1142"/>
    <d v="2024-05-12T00:00:00"/>
    <x v="6"/>
    <x v="1"/>
    <n v="4"/>
    <n v="378"/>
    <n v="1512"/>
    <x v="2"/>
    <x v="0"/>
    <x v="0"/>
  </r>
  <r>
    <s v="ORD-1143"/>
    <d v="2024-05-21T00:00:00"/>
    <x v="3"/>
    <x v="0"/>
    <n v="10"/>
    <n v="733"/>
    <n v="7330"/>
    <x v="1"/>
    <x v="0"/>
    <x v="0"/>
  </r>
  <r>
    <s v="ORD-1144"/>
    <d v="2024-07-27T00:00:00"/>
    <x v="1"/>
    <x v="1"/>
    <n v="2"/>
    <n v="262"/>
    <n v="524"/>
    <x v="3"/>
    <x v="5"/>
    <x v="5"/>
  </r>
  <r>
    <s v="ORD-1147"/>
    <d v="2024-12-05T00:00:00"/>
    <x v="2"/>
    <x v="0"/>
    <n v="4"/>
    <n v="328"/>
    <n v="1312"/>
    <x v="2"/>
    <x v="7"/>
    <x v="7"/>
  </r>
  <r>
    <s v="ORD-1148"/>
    <d v="2024-06-25T00:00:00"/>
    <x v="6"/>
    <x v="1"/>
    <n v="9"/>
    <n v="558"/>
    <n v="5022"/>
    <x v="3"/>
    <x v="4"/>
    <x v="4"/>
  </r>
  <r>
    <s v="ORD-1149"/>
    <d v="2024-08-20T00:00:00"/>
    <x v="5"/>
    <x v="1"/>
    <n v="6"/>
    <n v="734"/>
    <n v="4404"/>
    <x v="2"/>
    <x v="6"/>
    <x v="6"/>
  </r>
  <r>
    <s v="ORD-1150"/>
    <d v="2024-03-02T00:00:00"/>
    <x v="3"/>
    <x v="0"/>
    <n v="5"/>
    <n v="251"/>
    <n v="1255"/>
    <x v="0"/>
    <x v="10"/>
    <x v="10"/>
  </r>
  <r>
    <s v="ORD-1151"/>
    <d v="2024-10-01T00:00:00"/>
    <x v="5"/>
    <x v="1"/>
    <n v="2"/>
    <n v="775"/>
    <n v="1550"/>
    <x v="0"/>
    <x v="3"/>
    <x v="3"/>
  </r>
  <r>
    <s v="ORD-1152"/>
    <d v="2024-09-04T00:00:00"/>
    <x v="1"/>
    <x v="1"/>
    <n v="4"/>
    <n v="771"/>
    <n v="3084"/>
    <x v="2"/>
    <x v="11"/>
    <x v="11"/>
  </r>
  <r>
    <s v="ORD-1153"/>
    <d v="2024-04-09T00:00:00"/>
    <x v="3"/>
    <x v="0"/>
    <n v="2"/>
    <n v="867"/>
    <n v="1734"/>
    <x v="2"/>
    <x v="9"/>
    <x v="9"/>
  </r>
  <r>
    <s v="ORD-1154"/>
    <d v="2024-06-03T00:00:00"/>
    <x v="1"/>
    <x v="1"/>
    <n v="6"/>
    <n v="198"/>
    <n v="1188"/>
    <x v="1"/>
    <x v="4"/>
    <x v="4"/>
  </r>
  <r>
    <s v="ORD-1155"/>
    <d v="2024-01-28T00:00:00"/>
    <x v="4"/>
    <x v="0"/>
    <n v="5"/>
    <n v="61"/>
    <n v="305"/>
    <x v="2"/>
    <x v="2"/>
    <x v="2"/>
  </r>
  <r>
    <s v="ORD-1156"/>
    <d v="2024-01-07T00:00:00"/>
    <x v="4"/>
    <x v="0"/>
    <n v="8"/>
    <n v="120"/>
    <n v="960"/>
    <x v="2"/>
    <x v="2"/>
    <x v="2"/>
  </r>
  <r>
    <s v="ORD-1157"/>
    <d v="2024-06-23T00:00:00"/>
    <x v="6"/>
    <x v="1"/>
    <n v="8"/>
    <n v="466"/>
    <n v="3728"/>
    <x v="0"/>
    <x v="4"/>
    <x v="4"/>
  </r>
  <r>
    <s v="ORD-1158"/>
    <d v="2024-09-01T00:00:00"/>
    <x v="7"/>
    <x v="1"/>
    <n v="5"/>
    <n v="897"/>
    <n v="4485"/>
    <x v="1"/>
    <x v="11"/>
    <x v="11"/>
  </r>
  <r>
    <s v="ORD-1159"/>
    <d v="2024-02-07T00:00:00"/>
    <x v="0"/>
    <x v="0"/>
    <n v="7"/>
    <n v="518"/>
    <n v="3626"/>
    <x v="1"/>
    <x v="1"/>
    <x v="1"/>
  </r>
  <r>
    <s v="ORD-1160"/>
    <d v="2024-10-15T00:00:00"/>
    <x v="4"/>
    <x v="0"/>
    <n v="3"/>
    <n v="845"/>
    <n v="2535"/>
    <x v="2"/>
    <x v="3"/>
    <x v="3"/>
  </r>
  <r>
    <s v="ORD-1161"/>
    <d v="2024-10-12T00:00:00"/>
    <x v="0"/>
    <x v="0"/>
    <n v="4"/>
    <n v="136"/>
    <n v="544"/>
    <x v="3"/>
    <x v="3"/>
    <x v="3"/>
  </r>
  <r>
    <s v="ORD-1162"/>
    <d v="2024-08-18T00:00:00"/>
    <x v="1"/>
    <x v="1"/>
    <n v="9"/>
    <n v="404"/>
    <n v="3636"/>
    <x v="3"/>
    <x v="6"/>
    <x v="6"/>
  </r>
  <r>
    <s v="ORD-1163"/>
    <d v="2024-06-05T00:00:00"/>
    <x v="3"/>
    <x v="0"/>
    <n v="10"/>
    <n v="454"/>
    <n v="4540"/>
    <x v="1"/>
    <x v="4"/>
    <x v="4"/>
  </r>
  <r>
    <s v="ORD-1164"/>
    <d v="2024-04-18T00:00:00"/>
    <x v="0"/>
    <x v="0"/>
    <n v="4"/>
    <n v="655"/>
    <n v="2620"/>
    <x v="2"/>
    <x v="9"/>
    <x v="9"/>
  </r>
  <r>
    <s v="ORD-1166"/>
    <d v="2024-08-18T00:00:00"/>
    <x v="4"/>
    <x v="0"/>
    <n v="1"/>
    <n v="433"/>
    <n v="433"/>
    <x v="3"/>
    <x v="6"/>
    <x v="6"/>
  </r>
  <r>
    <s v="ORD-1167"/>
    <d v="2024-05-27T00:00:00"/>
    <x v="3"/>
    <x v="0"/>
    <n v="1"/>
    <n v="252"/>
    <n v="252"/>
    <x v="2"/>
    <x v="0"/>
    <x v="0"/>
  </r>
  <r>
    <s v="ORD-1168"/>
    <d v="2024-04-29T00:00:00"/>
    <x v="6"/>
    <x v="1"/>
    <n v="2"/>
    <n v="718"/>
    <n v="1436"/>
    <x v="2"/>
    <x v="9"/>
    <x v="9"/>
  </r>
  <r>
    <s v="ORD-1169"/>
    <d v="2024-10-05T00:00:00"/>
    <x v="1"/>
    <x v="1"/>
    <n v="7"/>
    <n v="132"/>
    <n v="924"/>
    <x v="0"/>
    <x v="3"/>
    <x v="3"/>
  </r>
  <r>
    <s v="ORD-1170"/>
    <d v="2024-03-13T00:00:00"/>
    <x v="4"/>
    <x v="0"/>
    <n v="5"/>
    <n v="861"/>
    <n v="4305"/>
    <x v="1"/>
    <x v="10"/>
    <x v="10"/>
  </r>
  <r>
    <s v="ORD-1171"/>
    <d v="2024-06-06T00:00:00"/>
    <x v="7"/>
    <x v="1"/>
    <n v="3"/>
    <n v="826"/>
    <n v="2478"/>
    <x v="2"/>
    <x v="4"/>
    <x v="4"/>
  </r>
  <r>
    <s v="ORD-1172"/>
    <d v="2024-12-18T00:00:00"/>
    <x v="6"/>
    <x v="1"/>
    <n v="2"/>
    <n v="494"/>
    <n v="988"/>
    <x v="2"/>
    <x v="7"/>
    <x v="7"/>
  </r>
  <r>
    <s v="ORD-1173"/>
    <d v="2024-10-03T00:00:00"/>
    <x v="2"/>
    <x v="0"/>
    <n v="5"/>
    <n v="527"/>
    <n v="2635"/>
    <x v="3"/>
    <x v="3"/>
    <x v="3"/>
  </r>
  <r>
    <s v="ORD-1174"/>
    <d v="2024-01-21T00:00:00"/>
    <x v="6"/>
    <x v="1"/>
    <n v="2"/>
    <n v="627"/>
    <n v="1254"/>
    <x v="3"/>
    <x v="2"/>
    <x v="2"/>
  </r>
  <r>
    <s v="ORD-1175"/>
    <d v="2024-01-14T00:00:00"/>
    <x v="5"/>
    <x v="1"/>
    <n v="10"/>
    <n v="271"/>
    <n v="2710"/>
    <x v="1"/>
    <x v="2"/>
    <x v="2"/>
  </r>
  <r>
    <s v="ORD-1176"/>
    <d v="2024-01-11T00:00:00"/>
    <x v="1"/>
    <x v="1"/>
    <n v="10"/>
    <n v="616"/>
    <n v="6160"/>
    <x v="2"/>
    <x v="2"/>
    <x v="2"/>
  </r>
  <r>
    <s v="ORD-1177"/>
    <d v="2024-09-22T00:00:00"/>
    <x v="7"/>
    <x v="1"/>
    <n v="3"/>
    <n v="496"/>
    <n v="1488"/>
    <x v="3"/>
    <x v="11"/>
    <x v="11"/>
  </r>
  <r>
    <s v="ORD-1178"/>
    <d v="2024-08-11T00:00:00"/>
    <x v="3"/>
    <x v="0"/>
    <n v="3"/>
    <n v="614"/>
    <n v="1842"/>
    <x v="3"/>
    <x v="6"/>
    <x v="6"/>
  </r>
  <r>
    <s v="ORD-1179"/>
    <d v="2024-07-28T00:00:00"/>
    <x v="0"/>
    <x v="0"/>
    <n v="8"/>
    <n v="371"/>
    <n v="2968"/>
    <x v="2"/>
    <x v="5"/>
    <x v="5"/>
  </r>
  <r>
    <s v="ORD-1180"/>
    <d v="2024-03-23T00:00:00"/>
    <x v="5"/>
    <x v="1"/>
    <n v="2"/>
    <n v="893"/>
    <n v="1786"/>
    <x v="2"/>
    <x v="10"/>
    <x v="10"/>
  </r>
  <r>
    <s v="ORD-1181"/>
    <d v="2024-12-05T00:00:00"/>
    <x v="2"/>
    <x v="0"/>
    <n v="8"/>
    <n v="310"/>
    <n v="2480"/>
    <x v="3"/>
    <x v="7"/>
    <x v="7"/>
  </r>
  <r>
    <s v="ORD-1182"/>
    <d v="2024-06-10T00:00:00"/>
    <x v="7"/>
    <x v="1"/>
    <n v="8"/>
    <n v="105"/>
    <n v="840"/>
    <x v="2"/>
    <x v="4"/>
    <x v="4"/>
  </r>
  <r>
    <s v="ORD-1183"/>
    <d v="2024-07-25T00:00:00"/>
    <x v="5"/>
    <x v="1"/>
    <n v="2"/>
    <n v="806"/>
    <n v="1612"/>
    <x v="1"/>
    <x v="5"/>
    <x v="5"/>
  </r>
  <r>
    <s v="ORD-1184"/>
    <d v="2024-04-06T00:00:00"/>
    <x v="6"/>
    <x v="1"/>
    <n v="7"/>
    <n v="70"/>
    <n v="490"/>
    <x v="2"/>
    <x v="9"/>
    <x v="9"/>
  </r>
  <r>
    <s v="ORD-1185"/>
    <d v="2024-01-27T00:00:00"/>
    <x v="6"/>
    <x v="1"/>
    <n v="8"/>
    <n v="793"/>
    <n v="6344"/>
    <x v="0"/>
    <x v="2"/>
    <x v="2"/>
  </r>
  <r>
    <s v="ORD-1187"/>
    <d v="2024-11-18T00:00:00"/>
    <x v="6"/>
    <x v="1"/>
    <n v="2"/>
    <n v="44"/>
    <n v="88"/>
    <x v="0"/>
    <x v="8"/>
    <x v="8"/>
  </r>
  <r>
    <s v="ORD-1188"/>
    <d v="2024-01-08T00:00:00"/>
    <x v="4"/>
    <x v="0"/>
    <n v="5"/>
    <n v="579"/>
    <n v="2895"/>
    <x v="3"/>
    <x v="2"/>
    <x v="2"/>
  </r>
  <r>
    <s v="ORD-1190"/>
    <d v="2024-05-29T00:00:00"/>
    <x v="0"/>
    <x v="0"/>
    <n v="3"/>
    <n v="525"/>
    <n v="1575"/>
    <x v="2"/>
    <x v="0"/>
    <x v="0"/>
  </r>
  <r>
    <s v="ORD-1191"/>
    <d v="2024-05-04T00:00:00"/>
    <x v="2"/>
    <x v="0"/>
    <n v="8"/>
    <n v="498"/>
    <n v="3984"/>
    <x v="3"/>
    <x v="0"/>
    <x v="0"/>
  </r>
  <r>
    <s v="ORD-1192"/>
    <d v="2024-11-02T00:00:00"/>
    <x v="4"/>
    <x v="0"/>
    <n v="7"/>
    <n v="210"/>
    <n v="1470"/>
    <x v="0"/>
    <x v="8"/>
    <x v="8"/>
  </r>
  <r>
    <s v="ORD-1193"/>
    <d v="2024-07-31T00:00:00"/>
    <x v="0"/>
    <x v="0"/>
    <n v="5"/>
    <n v="806"/>
    <n v="4030"/>
    <x v="2"/>
    <x v="5"/>
    <x v="5"/>
  </r>
  <r>
    <s v="ORD-1194"/>
    <d v="2024-06-01T00:00:00"/>
    <x v="3"/>
    <x v="0"/>
    <n v="1"/>
    <n v="304"/>
    <n v="304"/>
    <x v="3"/>
    <x v="4"/>
    <x v="4"/>
  </r>
  <r>
    <s v="ORD-1195"/>
    <d v="2024-09-04T00:00:00"/>
    <x v="4"/>
    <x v="0"/>
    <n v="8"/>
    <n v="566"/>
    <n v="4528"/>
    <x v="2"/>
    <x v="11"/>
    <x v="11"/>
  </r>
  <r>
    <s v="ORD-1196"/>
    <d v="2024-10-05T00:00:00"/>
    <x v="5"/>
    <x v="1"/>
    <n v="9"/>
    <n v="796"/>
    <n v="7164"/>
    <x v="3"/>
    <x v="3"/>
    <x v="3"/>
  </r>
  <r>
    <s v="ORD-1197"/>
    <d v="2024-12-23T00:00:00"/>
    <x v="6"/>
    <x v="1"/>
    <n v="6"/>
    <n v="208"/>
    <n v="1248"/>
    <x v="0"/>
    <x v="7"/>
    <x v="7"/>
  </r>
  <r>
    <s v="ORD-1198"/>
    <d v="2024-07-29T00:00:00"/>
    <x v="2"/>
    <x v="0"/>
    <n v="4"/>
    <n v="891"/>
    <n v="3564"/>
    <x v="1"/>
    <x v="5"/>
    <x v="5"/>
  </r>
  <r>
    <s v="ORD-1200"/>
    <d v="2024-03-05T00:00:00"/>
    <x v="4"/>
    <x v="0"/>
    <n v="8"/>
    <n v="52"/>
    <n v="416"/>
    <x v="2"/>
    <x v="10"/>
    <x v="10"/>
  </r>
  <r>
    <s v="ORD-1201"/>
    <d v="2024-09-26T00:00:00"/>
    <x v="0"/>
    <x v="0"/>
    <n v="8"/>
    <n v="117"/>
    <n v="936"/>
    <x v="3"/>
    <x v="11"/>
    <x v="11"/>
  </r>
  <r>
    <s v="ORD-1202"/>
    <d v="2024-12-01T00:00:00"/>
    <x v="7"/>
    <x v="1"/>
    <n v="3"/>
    <n v="434"/>
    <n v="1302"/>
    <x v="0"/>
    <x v="7"/>
    <x v="7"/>
  </r>
  <r>
    <s v="ORD-1203"/>
    <d v="2024-05-15T00:00:00"/>
    <x v="0"/>
    <x v="0"/>
    <n v="8"/>
    <n v="815"/>
    <n v="6520"/>
    <x v="2"/>
    <x v="0"/>
    <x v="0"/>
  </r>
  <r>
    <s v="ORD-1204"/>
    <d v="2024-06-17T00:00:00"/>
    <x v="2"/>
    <x v="0"/>
    <n v="2"/>
    <n v="887"/>
    <n v="1774"/>
    <x v="3"/>
    <x v="4"/>
    <x v="4"/>
  </r>
  <r>
    <s v="ORD-1205"/>
    <d v="2024-01-19T00:00:00"/>
    <x v="5"/>
    <x v="1"/>
    <n v="8"/>
    <n v="569"/>
    <n v="4552"/>
    <x v="1"/>
    <x v="2"/>
    <x v="2"/>
  </r>
  <r>
    <s v="ORD-1206"/>
    <d v="2024-02-16T00:00:00"/>
    <x v="1"/>
    <x v="1"/>
    <n v="5"/>
    <n v="247"/>
    <n v="1235"/>
    <x v="3"/>
    <x v="1"/>
    <x v="1"/>
  </r>
  <r>
    <s v="ORD-1207"/>
    <d v="2024-03-26T00:00:00"/>
    <x v="0"/>
    <x v="0"/>
    <n v="2"/>
    <n v="469"/>
    <n v="938"/>
    <x v="2"/>
    <x v="10"/>
    <x v="10"/>
  </r>
  <r>
    <s v="ORD-1208"/>
    <d v="2024-01-29T00:00:00"/>
    <x v="7"/>
    <x v="1"/>
    <n v="1"/>
    <n v="347"/>
    <n v="347"/>
    <x v="2"/>
    <x v="2"/>
    <x v="2"/>
  </r>
  <r>
    <s v="ORD-1209"/>
    <d v="2024-03-15T00:00:00"/>
    <x v="5"/>
    <x v="1"/>
    <n v="6"/>
    <n v="456"/>
    <n v="2736"/>
    <x v="0"/>
    <x v="10"/>
    <x v="10"/>
  </r>
  <r>
    <s v="ORD-1210"/>
    <d v="2024-04-02T00:00:00"/>
    <x v="2"/>
    <x v="0"/>
    <n v="10"/>
    <n v="713"/>
    <n v="7130"/>
    <x v="0"/>
    <x v="9"/>
    <x v="9"/>
  </r>
  <r>
    <s v="ORD-1211"/>
    <d v="2024-07-14T00:00:00"/>
    <x v="4"/>
    <x v="0"/>
    <n v="2"/>
    <n v="639"/>
    <n v="1278"/>
    <x v="0"/>
    <x v="5"/>
    <x v="5"/>
  </r>
  <r>
    <s v="ORD-1212"/>
    <d v="2024-04-28T00:00:00"/>
    <x v="6"/>
    <x v="1"/>
    <n v="10"/>
    <n v="161"/>
    <n v="1610"/>
    <x v="3"/>
    <x v="9"/>
    <x v="9"/>
  </r>
  <r>
    <s v="ORD-1213"/>
    <d v="2024-12-07T00:00:00"/>
    <x v="3"/>
    <x v="0"/>
    <n v="8"/>
    <n v="276"/>
    <n v="2208"/>
    <x v="1"/>
    <x v="7"/>
    <x v="7"/>
  </r>
  <r>
    <s v="ORD-1214"/>
    <d v="2024-10-06T00:00:00"/>
    <x v="6"/>
    <x v="1"/>
    <n v="5"/>
    <n v="708"/>
    <n v="3540"/>
    <x v="0"/>
    <x v="3"/>
    <x v="3"/>
  </r>
  <r>
    <s v="ORD-1215"/>
    <d v="2024-10-27T00:00:00"/>
    <x v="0"/>
    <x v="0"/>
    <n v="8"/>
    <n v="368"/>
    <n v="2944"/>
    <x v="2"/>
    <x v="3"/>
    <x v="3"/>
  </r>
  <r>
    <s v="ORD-1218"/>
    <d v="2024-12-24T00:00:00"/>
    <x v="5"/>
    <x v="1"/>
    <n v="10"/>
    <n v="317"/>
    <n v="3170"/>
    <x v="2"/>
    <x v="7"/>
    <x v="7"/>
  </r>
  <r>
    <s v="ORD-1219"/>
    <d v="2024-01-05T00:00:00"/>
    <x v="7"/>
    <x v="1"/>
    <n v="7"/>
    <n v="296"/>
    <n v="2072"/>
    <x v="1"/>
    <x v="2"/>
    <x v="2"/>
  </r>
  <r>
    <s v="ORD-1220"/>
    <d v="2024-04-27T00:00:00"/>
    <x v="6"/>
    <x v="1"/>
    <n v="5"/>
    <n v="809"/>
    <n v="4045"/>
    <x v="2"/>
    <x v="9"/>
    <x v="9"/>
  </r>
  <r>
    <s v="ORD-1221"/>
    <d v="2024-05-08T00:00:00"/>
    <x v="1"/>
    <x v="1"/>
    <n v="4"/>
    <n v="650"/>
    <n v="2600"/>
    <x v="0"/>
    <x v="0"/>
    <x v="0"/>
  </r>
  <r>
    <s v="ORD-1222"/>
    <d v="2024-08-13T00:00:00"/>
    <x v="0"/>
    <x v="0"/>
    <n v="1"/>
    <n v="331"/>
    <n v="331"/>
    <x v="1"/>
    <x v="6"/>
    <x v="6"/>
  </r>
  <r>
    <s v="ORD-1223"/>
    <d v="2024-05-31T00:00:00"/>
    <x v="5"/>
    <x v="1"/>
    <n v="3"/>
    <n v="107"/>
    <n v="321"/>
    <x v="2"/>
    <x v="0"/>
    <x v="0"/>
  </r>
  <r>
    <s v="ORD-1224"/>
    <d v="2024-03-08T00:00:00"/>
    <x v="2"/>
    <x v="0"/>
    <n v="3"/>
    <n v="220"/>
    <n v="660"/>
    <x v="2"/>
    <x v="10"/>
    <x v="10"/>
  </r>
  <r>
    <s v="ORD-1225"/>
    <d v="2024-09-03T00:00:00"/>
    <x v="3"/>
    <x v="0"/>
    <n v="3"/>
    <n v="278"/>
    <n v="834"/>
    <x v="2"/>
    <x v="11"/>
    <x v="11"/>
  </r>
  <r>
    <s v="ORD-1226"/>
    <d v="2024-02-08T00:00:00"/>
    <x v="5"/>
    <x v="1"/>
    <n v="2"/>
    <n v="494"/>
    <n v="988"/>
    <x v="0"/>
    <x v="1"/>
    <x v="1"/>
  </r>
  <r>
    <s v="ORD-1228"/>
    <d v="2024-05-15T00:00:00"/>
    <x v="0"/>
    <x v="0"/>
    <n v="7"/>
    <n v="29"/>
    <n v="203"/>
    <x v="1"/>
    <x v="0"/>
    <x v="0"/>
  </r>
  <r>
    <s v="ORD-1229"/>
    <d v="2024-12-10T00:00:00"/>
    <x v="6"/>
    <x v="1"/>
    <n v="6"/>
    <n v="703"/>
    <n v="4218"/>
    <x v="2"/>
    <x v="7"/>
    <x v="7"/>
  </r>
  <r>
    <s v="ORD-1230"/>
    <d v="2024-12-11T00:00:00"/>
    <x v="2"/>
    <x v="0"/>
    <n v="6"/>
    <n v="125"/>
    <n v="750"/>
    <x v="0"/>
    <x v="7"/>
    <x v="7"/>
  </r>
  <r>
    <s v="ORD-1231"/>
    <d v="2024-10-14T00:00:00"/>
    <x v="6"/>
    <x v="1"/>
    <n v="1"/>
    <n v="649"/>
    <n v="649"/>
    <x v="2"/>
    <x v="3"/>
    <x v="3"/>
  </r>
  <r>
    <s v="ORD-1232"/>
    <d v="2024-08-25T00:00:00"/>
    <x v="1"/>
    <x v="1"/>
    <n v="2"/>
    <n v="665"/>
    <n v="1330"/>
    <x v="2"/>
    <x v="6"/>
    <x v="6"/>
  </r>
  <r>
    <s v="ORD-1233"/>
    <d v="2024-01-24T00:00:00"/>
    <x v="2"/>
    <x v="0"/>
    <n v="2"/>
    <n v="158"/>
    <n v="316"/>
    <x v="1"/>
    <x v="2"/>
    <x v="2"/>
  </r>
  <r>
    <s v="ORD-1234"/>
    <d v="2024-02-19T00:00:00"/>
    <x v="3"/>
    <x v="0"/>
    <n v="8"/>
    <n v="133"/>
    <n v="1064"/>
    <x v="0"/>
    <x v="1"/>
    <x v="1"/>
  </r>
  <r>
    <s v="ORD-1235"/>
    <d v="2024-07-08T00:00:00"/>
    <x v="4"/>
    <x v="0"/>
    <n v="7"/>
    <n v="479"/>
    <n v="3353"/>
    <x v="3"/>
    <x v="5"/>
    <x v="5"/>
  </r>
  <r>
    <s v="ORD-1236"/>
    <d v="2024-02-20T00:00:00"/>
    <x v="4"/>
    <x v="0"/>
    <n v="7"/>
    <n v="685"/>
    <n v="4795"/>
    <x v="3"/>
    <x v="1"/>
    <x v="1"/>
  </r>
  <r>
    <s v="ORD-1237"/>
    <d v="2024-12-19T00:00:00"/>
    <x v="2"/>
    <x v="0"/>
    <n v="5"/>
    <n v="48"/>
    <n v="240"/>
    <x v="2"/>
    <x v="7"/>
    <x v="7"/>
  </r>
  <r>
    <s v="ORD-1238"/>
    <d v="2024-04-30T00:00:00"/>
    <x v="1"/>
    <x v="1"/>
    <n v="8"/>
    <n v="470"/>
    <n v="3760"/>
    <x v="2"/>
    <x v="9"/>
    <x v="9"/>
  </r>
  <r>
    <s v="ORD-1239"/>
    <d v="2024-11-26T00:00:00"/>
    <x v="0"/>
    <x v="0"/>
    <n v="6"/>
    <n v="572"/>
    <n v="3432"/>
    <x v="2"/>
    <x v="8"/>
    <x v="8"/>
  </r>
  <r>
    <s v="ORD-1240"/>
    <d v="2024-04-07T00:00:00"/>
    <x v="7"/>
    <x v="1"/>
    <n v="7"/>
    <n v="297"/>
    <n v="2079"/>
    <x v="1"/>
    <x v="9"/>
    <x v="9"/>
  </r>
  <r>
    <s v="ORD-1241"/>
    <d v="2024-04-18T00:00:00"/>
    <x v="6"/>
    <x v="1"/>
    <n v="2"/>
    <n v="693"/>
    <n v="1386"/>
    <x v="1"/>
    <x v="9"/>
    <x v="9"/>
  </r>
  <r>
    <s v="ORD-1242"/>
    <d v="2024-03-05T00:00:00"/>
    <x v="7"/>
    <x v="1"/>
    <n v="6"/>
    <n v="264"/>
    <n v="1584"/>
    <x v="0"/>
    <x v="10"/>
    <x v="10"/>
  </r>
  <r>
    <s v="ORD-1243"/>
    <d v="2024-10-27T00:00:00"/>
    <x v="0"/>
    <x v="0"/>
    <n v="9"/>
    <n v="227"/>
    <n v="2043"/>
    <x v="0"/>
    <x v="3"/>
    <x v="3"/>
  </r>
  <r>
    <s v="ORD-1244"/>
    <d v="2024-03-16T00:00:00"/>
    <x v="1"/>
    <x v="1"/>
    <n v="6"/>
    <n v="807"/>
    <n v="4842"/>
    <x v="1"/>
    <x v="10"/>
    <x v="10"/>
  </r>
  <r>
    <s v="ORD-1245"/>
    <d v="2024-10-03T00:00:00"/>
    <x v="3"/>
    <x v="0"/>
    <n v="3"/>
    <n v="148"/>
    <n v="444"/>
    <x v="2"/>
    <x v="3"/>
    <x v="3"/>
  </r>
  <r>
    <s v="ORD-1246"/>
    <d v="2024-01-14T00:00:00"/>
    <x v="4"/>
    <x v="0"/>
    <n v="2"/>
    <n v="691"/>
    <n v="1382"/>
    <x v="0"/>
    <x v="2"/>
    <x v="2"/>
  </r>
  <r>
    <s v="ORD-1247"/>
    <d v="2024-05-01T00:00:00"/>
    <x v="7"/>
    <x v="1"/>
    <n v="6"/>
    <n v="823"/>
    <n v="4938"/>
    <x v="2"/>
    <x v="0"/>
    <x v="0"/>
  </r>
  <r>
    <s v="ORD-1248"/>
    <d v="2024-01-27T00:00:00"/>
    <x v="7"/>
    <x v="1"/>
    <n v="3"/>
    <n v="286"/>
    <n v="858"/>
    <x v="0"/>
    <x v="2"/>
    <x v="2"/>
  </r>
  <r>
    <s v="ORD-1249"/>
    <d v="2024-02-02T00:00:00"/>
    <x v="2"/>
    <x v="0"/>
    <n v="9"/>
    <n v="131"/>
    <n v="1179"/>
    <x v="3"/>
    <x v="1"/>
    <x v="1"/>
  </r>
  <r>
    <s v="ORD-1250"/>
    <d v="2024-10-30T00:00:00"/>
    <x v="6"/>
    <x v="1"/>
    <n v="6"/>
    <n v="540"/>
    <n v="3240"/>
    <x v="1"/>
    <x v="3"/>
    <x v="3"/>
  </r>
  <r>
    <s v="ORD-1251"/>
    <d v="2024-11-10T00:00:00"/>
    <x v="6"/>
    <x v="1"/>
    <n v="9"/>
    <n v="241"/>
    <n v="2169"/>
    <x v="1"/>
    <x v="8"/>
    <x v="8"/>
  </r>
  <r>
    <s v="ORD-1252"/>
    <d v="2024-01-16T00:00:00"/>
    <x v="3"/>
    <x v="0"/>
    <n v="8"/>
    <n v="673"/>
    <n v="5384"/>
    <x v="1"/>
    <x v="2"/>
    <x v="2"/>
  </r>
  <r>
    <s v="ORD-1253"/>
    <d v="2024-12-17T00:00:00"/>
    <x v="6"/>
    <x v="1"/>
    <n v="7"/>
    <n v="451"/>
    <n v="3157"/>
    <x v="1"/>
    <x v="7"/>
    <x v="7"/>
  </r>
  <r>
    <s v="ORD-1254"/>
    <d v="2024-02-11T00:00:00"/>
    <x v="6"/>
    <x v="1"/>
    <n v="8"/>
    <n v="90"/>
    <n v="720"/>
    <x v="2"/>
    <x v="1"/>
    <x v="1"/>
  </r>
  <r>
    <s v="ORD-1255"/>
    <d v="2024-05-20T00:00:00"/>
    <x v="4"/>
    <x v="0"/>
    <n v="2"/>
    <n v="144"/>
    <n v="288"/>
    <x v="2"/>
    <x v="0"/>
    <x v="0"/>
  </r>
  <r>
    <s v="ORD-1256"/>
    <d v="2024-05-30T00:00:00"/>
    <x v="2"/>
    <x v="0"/>
    <n v="10"/>
    <n v="558"/>
    <n v="5580"/>
    <x v="3"/>
    <x v="0"/>
    <x v="0"/>
  </r>
  <r>
    <s v="ORD-1257"/>
    <d v="2024-12-25T00:00:00"/>
    <x v="2"/>
    <x v="0"/>
    <n v="2"/>
    <n v="827"/>
    <n v="1654"/>
    <x v="1"/>
    <x v="7"/>
    <x v="7"/>
  </r>
  <r>
    <s v="ORD-1258"/>
    <d v="2024-04-26T00:00:00"/>
    <x v="1"/>
    <x v="1"/>
    <n v="7"/>
    <n v="477"/>
    <n v="3339"/>
    <x v="3"/>
    <x v="9"/>
    <x v="9"/>
  </r>
  <r>
    <s v="ORD-1260"/>
    <d v="2024-12-06T00:00:00"/>
    <x v="5"/>
    <x v="1"/>
    <n v="7"/>
    <n v="335"/>
    <n v="2345"/>
    <x v="2"/>
    <x v="7"/>
    <x v="7"/>
  </r>
  <r>
    <s v="ORD-1261"/>
    <d v="2024-08-30T00:00:00"/>
    <x v="5"/>
    <x v="1"/>
    <n v="3"/>
    <n v="718"/>
    <n v="2154"/>
    <x v="1"/>
    <x v="6"/>
    <x v="6"/>
  </r>
  <r>
    <s v="ORD-1262"/>
    <d v="2024-08-09T00:00:00"/>
    <x v="0"/>
    <x v="0"/>
    <n v="2"/>
    <n v="110"/>
    <n v="220"/>
    <x v="1"/>
    <x v="6"/>
    <x v="6"/>
  </r>
  <r>
    <s v="ORD-1263"/>
    <d v="2024-01-31T00:00:00"/>
    <x v="5"/>
    <x v="1"/>
    <n v="3"/>
    <n v="584"/>
    <n v="1752"/>
    <x v="2"/>
    <x v="2"/>
    <x v="2"/>
  </r>
  <r>
    <s v="ORD-1264"/>
    <d v="2024-12-06T00:00:00"/>
    <x v="0"/>
    <x v="0"/>
    <n v="7"/>
    <n v="377"/>
    <n v="2639"/>
    <x v="3"/>
    <x v="7"/>
    <x v="7"/>
  </r>
  <r>
    <s v="ORD-1265"/>
    <d v="2024-06-08T00:00:00"/>
    <x v="7"/>
    <x v="1"/>
    <n v="5"/>
    <n v="629"/>
    <n v="3145"/>
    <x v="2"/>
    <x v="4"/>
    <x v="4"/>
  </r>
  <r>
    <s v="ORD-1266"/>
    <d v="2024-04-18T00:00:00"/>
    <x v="0"/>
    <x v="0"/>
    <n v="10"/>
    <n v="534"/>
    <n v="5340"/>
    <x v="0"/>
    <x v="9"/>
    <x v="9"/>
  </r>
  <r>
    <s v="ORD-1267"/>
    <d v="2024-02-25T00:00:00"/>
    <x v="6"/>
    <x v="1"/>
    <n v="4"/>
    <n v="882"/>
    <n v="3528"/>
    <x v="2"/>
    <x v="1"/>
    <x v="1"/>
  </r>
  <r>
    <s v="ORD-1268"/>
    <d v="2024-05-22T00:00:00"/>
    <x v="5"/>
    <x v="1"/>
    <n v="2"/>
    <n v="795"/>
    <n v="1590"/>
    <x v="0"/>
    <x v="0"/>
    <x v="0"/>
  </r>
  <r>
    <s v="ORD-1269"/>
    <d v="2024-11-14T00:00:00"/>
    <x v="2"/>
    <x v="0"/>
    <n v="9"/>
    <n v="800"/>
    <n v="7200"/>
    <x v="1"/>
    <x v="8"/>
    <x v="8"/>
  </r>
  <r>
    <s v="ORD-1270"/>
    <d v="2024-05-19T00:00:00"/>
    <x v="3"/>
    <x v="0"/>
    <n v="1"/>
    <n v="199"/>
    <n v="199"/>
    <x v="2"/>
    <x v="0"/>
    <x v="0"/>
  </r>
  <r>
    <s v="ORD-1271"/>
    <d v="2024-04-02T00:00:00"/>
    <x v="5"/>
    <x v="1"/>
    <n v="6"/>
    <n v="21"/>
    <n v="126"/>
    <x v="0"/>
    <x v="9"/>
    <x v="9"/>
  </r>
  <r>
    <s v="ORD-1272"/>
    <d v="2024-11-20T00:00:00"/>
    <x v="2"/>
    <x v="0"/>
    <n v="2"/>
    <n v="160"/>
    <n v="320"/>
    <x v="1"/>
    <x v="8"/>
    <x v="8"/>
  </r>
  <r>
    <s v="ORD-1273"/>
    <d v="2024-07-11T00:00:00"/>
    <x v="0"/>
    <x v="0"/>
    <n v="9"/>
    <n v="235"/>
    <n v="2115"/>
    <x v="3"/>
    <x v="5"/>
    <x v="5"/>
  </r>
  <r>
    <s v="ORD-1274"/>
    <d v="2024-07-08T00:00:00"/>
    <x v="6"/>
    <x v="1"/>
    <n v="6"/>
    <n v="176"/>
    <n v="1056"/>
    <x v="2"/>
    <x v="5"/>
    <x v="5"/>
  </r>
  <r>
    <s v="ORD-1275"/>
    <d v="2024-02-13T00:00:00"/>
    <x v="5"/>
    <x v="1"/>
    <n v="10"/>
    <n v="625"/>
    <n v="6250"/>
    <x v="1"/>
    <x v="1"/>
    <x v="1"/>
  </r>
  <r>
    <s v="ORD-1276"/>
    <d v="2024-11-12T00:00:00"/>
    <x v="4"/>
    <x v="0"/>
    <n v="3"/>
    <n v="787"/>
    <n v="2361"/>
    <x v="1"/>
    <x v="8"/>
    <x v="8"/>
  </r>
  <r>
    <s v="ORD-1277"/>
    <d v="2024-12-04T00:00:00"/>
    <x v="0"/>
    <x v="0"/>
    <n v="5"/>
    <n v="468"/>
    <n v="2340"/>
    <x v="3"/>
    <x v="7"/>
    <x v="7"/>
  </r>
  <r>
    <s v="ORD-1278"/>
    <d v="2024-07-31T00:00:00"/>
    <x v="6"/>
    <x v="1"/>
    <n v="10"/>
    <n v="467"/>
    <n v="4670"/>
    <x v="2"/>
    <x v="5"/>
    <x v="5"/>
  </r>
  <r>
    <s v="ORD-1279"/>
    <d v="2024-06-25T00:00:00"/>
    <x v="1"/>
    <x v="1"/>
    <n v="9"/>
    <n v="131"/>
    <n v="1179"/>
    <x v="3"/>
    <x v="4"/>
    <x v="4"/>
  </r>
  <r>
    <s v="ORD-1280"/>
    <d v="2024-12-13T00:00:00"/>
    <x v="0"/>
    <x v="0"/>
    <n v="5"/>
    <n v="709"/>
    <n v="3545"/>
    <x v="3"/>
    <x v="7"/>
    <x v="7"/>
  </r>
  <r>
    <s v="ORD-1281"/>
    <d v="2024-07-21T00:00:00"/>
    <x v="3"/>
    <x v="0"/>
    <n v="1"/>
    <n v="240"/>
    <n v="240"/>
    <x v="1"/>
    <x v="5"/>
    <x v="5"/>
  </r>
  <r>
    <s v="ORD-1282"/>
    <d v="2024-04-18T00:00:00"/>
    <x v="7"/>
    <x v="1"/>
    <n v="4"/>
    <n v="323"/>
    <n v="1292"/>
    <x v="0"/>
    <x v="9"/>
    <x v="9"/>
  </r>
  <r>
    <s v="ORD-1283"/>
    <d v="2024-03-02T00:00:00"/>
    <x v="3"/>
    <x v="0"/>
    <n v="5"/>
    <n v="350"/>
    <n v="1750"/>
    <x v="1"/>
    <x v="10"/>
    <x v="10"/>
  </r>
  <r>
    <s v="ORD-1284"/>
    <d v="2024-03-07T00:00:00"/>
    <x v="6"/>
    <x v="1"/>
    <n v="7"/>
    <n v="194"/>
    <n v="1358"/>
    <x v="3"/>
    <x v="10"/>
    <x v="10"/>
  </r>
  <r>
    <s v="ORD-1285"/>
    <d v="2024-12-08T00:00:00"/>
    <x v="1"/>
    <x v="1"/>
    <n v="9"/>
    <n v="587"/>
    <n v="5283"/>
    <x v="2"/>
    <x v="7"/>
    <x v="7"/>
  </r>
  <r>
    <s v="ORD-1286"/>
    <d v="2024-01-22T00:00:00"/>
    <x v="0"/>
    <x v="0"/>
    <n v="7"/>
    <n v="897"/>
    <n v="6279"/>
    <x v="3"/>
    <x v="2"/>
    <x v="2"/>
  </r>
  <r>
    <s v="ORD-1287"/>
    <d v="2024-06-09T00:00:00"/>
    <x v="7"/>
    <x v="1"/>
    <n v="8"/>
    <n v="94"/>
    <n v="752"/>
    <x v="3"/>
    <x v="4"/>
    <x v="4"/>
  </r>
  <r>
    <s v="ORD-1288"/>
    <d v="2024-02-28T00:00:00"/>
    <x v="2"/>
    <x v="0"/>
    <n v="7"/>
    <n v="311"/>
    <n v="2177"/>
    <x v="3"/>
    <x v="1"/>
    <x v="1"/>
  </r>
  <r>
    <s v="ORD-1289"/>
    <d v="2024-11-12T00:00:00"/>
    <x v="7"/>
    <x v="1"/>
    <n v="6"/>
    <n v="190"/>
    <n v="1140"/>
    <x v="3"/>
    <x v="8"/>
    <x v="8"/>
  </r>
  <r>
    <s v="ORD-1290"/>
    <d v="2024-02-24T00:00:00"/>
    <x v="5"/>
    <x v="1"/>
    <n v="2"/>
    <n v="462"/>
    <n v="924"/>
    <x v="0"/>
    <x v="1"/>
    <x v="1"/>
  </r>
  <r>
    <s v="ORD-1291"/>
    <d v="2024-09-25T00:00:00"/>
    <x v="2"/>
    <x v="0"/>
    <n v="10"/>
    <n v="425"/>
    <n v="4250"/>
    <x v="1"/>
    <x v="11"/>
    <x v="11"/>
  </r>
  <r>
    <s v="ORD-1292"/>
    <d v="2024-06-22T00:00:00"/>
    <x v="2"/>
    <x v="0"/>
    <n v="5"/>
    <n v="778"/>
    <n v="3890"/>
    <x v="0"/>
    <x v="4"/>
    <x v="4"/>
  </r>
  <r>
    <s v="ORD-1293"/>
    <d v="2024-09-18T00:00:00"/>
    <x v="5"/>
    <x v="1"/>
    <n v="3"/>
    <n v="93"/>
    <n v="279"/>
    <x v="1"/>
    <x v="11"/>
    <x v="11"/>
  </r>
  <r>
    <s v="ORD-1294"/>
    <d v="2024-11-26T00:00:00"/>
    <x v="1"/>
    <x v="1"/>
    <n v="6"/>
    <n v="374"/>
    <n v="2244"/>
    <x v="0"/>
    <x v="8"/>
    <x v="8"/>
  </r>
  <r>
    <s v="ORD-1295"/>
    <d v="2024-05-11T00:00:00"/>
    <x v="1"/>
    <x v="1"/>
    <n v="2"/>
    <n v="164"/>
    <n v="328"/>
    <x v="0"/>
    <x v="0"/>
    <x v="0"/>
  </r>
  <r>
    <s v="ORD-1296"/>
    <d v="2024-12-01T00:00:00"/>
    <x v="4"/>
    <x v="0"/>
    <n v="10"/>
    <n v="171"/>
    <n v="1710"/>
    <x v="1"/>
    <x v="7"/>
    <x v="7"/>
  </r>
  <r>
    <s v="ORD-1297"/>
    <d v="2024-10-15T00:00:00"/>
    <x v="4"/>
    <x v="0"/>
    <n v="8"/>
    <n v="490"/>
    <n v="3920"/>
    <x v="3"/>
    <x v="3"/>
    <x v="3"/>
  </r>
  <r>
    <s v="ORD-1298"/>
    <d v="2024-08-13T00:00:00"/>
    <x v="5"/>
    <x v="1"/>
    <n v="6"/>
    <n v="169"/>
    <n v="1014"/>
    <x v="1"/>
    <x v="6"/>
    <x v="6"/>
  </r>
  <r>
    <s v="ORD-1299"/>
    <d v="2024-06-04T00:00:00"/>
    <x v="6"/>
    <x v="1"/>
    <n v="8"/>
    <n v="661"/>
    <n v="5288"/>
    <x v="2"/>
    <x v="4"/>
    <x v="4"/>
  </r>
  <r>
    <s v="ORD-1300"/>
    <d v="2024-02-07T00:00:00"/>
    <x v="7"/>
    <x v="1"/>
    <n v="6"/>
    <n v="534"/>
    <n v="3204"/>
    <x v="2"/>
    <x v="1"/>
    <x v="1"/>
  </r>
  <r>
    <s v="ORD-1301"/>
    <d v="2024-01-30T00:00:00"/>
    <x v="6"/>
    <x v="1"/>
    <n v="8"/>
    <n v="53"/>
    <n v="424"/>
    <x v="2"/>
    <x v="2"/>
    <x v="2"/>
  </r>
  <r>
    <s v="ORD-1302"/>
    <d v="2024-02-16T00:00:00"/>
    <x v="3"/>
    <x v="0"/>
    <n v="2"/>
    <n v="675"/>
    <n v="1350"/>
    <x v="3"/>
    <x v="1"/>
    <x v="1"/>
  </r>
  <r>
    <s v="ORD-1303"/>
    <d v="2024-01-22T00:00:00"/>
    <x v="6"/>
    <x v="1"/>
    <n v="10"/>
    <n v="582"/>
    <n v="5820"/>
    <x v="3"/>
    <x v="2"/>
    <x v="2"/>
  </r>
  <r>
    <s v="ORD-1304"/>
    <d v="2024-08-31T00:00:00"/>
    <x v="1"/>
    <x v="1"/>
    <n v="6"/>
    <n v="634"/>
    <n v="3804"/>
    <x v="0"/>
    <x v="6"/>
    <x v="6"/>
  </r>
  <r>
    <s v="ORD-1305"/>
    <d v="2024-06-24T00:00:00"/>
    <x v="7"/>
    <x v="1"/>
    <n v="8"/>
    <n v="120"/>
    <n v="960"/>
    <x v="1"/>
    <x v="4"/>
    <x v="4"/>
  </r>
  <r>
    <s v="ORD-1306"/>
    <d v="2024-12-28T00:00:00"/>
    <x v="4"/>
    <x v="0"/>
    <n v="1"/>
    <n v="268"/>
    <n v="268"/>
    <x v="3"/>
    <x v="7"/>
    <x v="7"/>
  </r>
  <r>
    <s v="ORD-1307"/>
    <d v="2024-11-08T00:00:00"/>
    <x v="6"/>
    <x v="1"/>
    <n v="9"/>
    <n v="550"/>
    <n v="4950"/>
    <x v="0"/>
    <x v="8"/>
    <x v="8"/>
  </r>
  <r>
    <s v="ORD-1308"/>
    <d v="2024-07-17T00:00:00"/>
    <x v="5"/>
    <x v="1"/>
    <n v="6"/>
    <n v="304"/>
    <n v="1824"/>
    <x v="3"/>
    <x v="5"/>
    <x v="5"/>
  </r>
  <r>
    <s v="ORD-1309"/>
    <d v="2024-11-19T00:00:00"/>
    <x v="5"/>
    <x v="1"/>
    <n v="10"/>
    <n v="68"/>
    <n v="680"/>
    <x v="2"/>
    <x v="8"/>
    <x v="8"/>
  </r>
  <r>
    <s v="ORD-1310"/>
    <d v="2024-10-12T00:00:00"/>
    <x v="0"/>
    <x v="0"/>
    <n v="6"/>
    <n v="111"/>
    <n v="666"/>
    <x v="3"/>
    <x v="3"/>
    <x v="3"/>
  </r>
  <r>
    <s v="ORD-1311"/>
    <d v="2024-12-02T00:00:00"/>
    <x v="3"/>
    <x v="0"/>
    <n v="5"/>
    <n v="756"/>
    <n v="3780"/>
    <x v="0"/>
    <x v="7"/>
    <x v="7"/>
  </r>
  <r>
    <s v="ORD-1312"/>
    <d v="2024-12-05T00:00:00"/>
    <x v="5"/>
    <x v="1"/>
    <n v="2"/>
    <n v="611"/>
    <n v="1222"/>
    <x v="0"/>
    <x v="7"/>
    <x v="7"/>
  </r>
  <r>
    <s v="ORD-1314"/>
    <d v="2024-02-13T00:00:00"/>
    <x v="4"/>
    <x v="0"/>
    <n v="10"/>
    <n v="740"/>
    <n v="7400"/>
    <x v="2"/>
    <x v="1"/>
    <x v="1"/>
  </r>
  <r>
    <s v="ORD-1315"/>
    <d v="2024-03-06T00:00:00"/>
    <x v="2"/>
    <x v="0"/>
    <n v="6"/>
    <n v="847"/>
    <n v="5082"/>
    <x v="1"/>
    <x v="10"/>
    <x v="10"/>
  </r>
  <r>
    <s v="ORD-1316"/>
    <d v="2024-01-10T00:00:00"/>
    <x v="2"/>
    <x v="0"/>
    <n v="9"/>
    <n v="385"/>
    <n v="3465"/>
    <x v="2"/>
    <x v="2"/>
    <x v="2"/>
  </r>
  <r>
    <s v="ORD-1317"/>
    <d v="2024-06-23T00:00:00"/>
    <x v="3"/>
    <x v="0"/>
    <n v="3"/>
    <n v="234"/>
    <n v="702"/>
    <x v="3"/>
    <x v="4"/>
    <x v="4"/>
  </r>
  <r>
    <s v="ORD-1318"/>
    <d v="2024-03-20T00:00:00"/>
    <x v="1"/>
    <x v="1"/>
    <n v="4"/>
    <n v="155"/>
    <n v="620"/>
    <x v="1"/>
    <x v="10"/>
    <x v="10"/>
  </r>
  <r>
    <s v="ORD-1319"/>
    <d v="2024-10-03T00:00:00"/>
    <x v="3"/>
    <x v="0"/>
    <n v="2"/>
    <n v="534"/>
    <n v="1068"/>
    <x v="1"/>
    <x v="3"/>
    <x v="3"/>
  </r>
  <r>
    <s v="ORD-1320"/>
    <d v="2024-11-01T00:00:00"/>
    <x v="5"/>
    <x v="1"/>
    <n v="10"/>
    <n v="149"/>
    <n v="1490"/>
    <x v="3"/>
    <x v="8"/>
    <x v="8"/>
  </r>
  <r>
    <s v="ORD-1321"/>
    <d v="2024-12-20T00:00:00"/>
    <x v="4"/>
    <x v="0"/>
    <n v="3"/>
    <n v="200"/>
    <n v="600"/>
    <x v="0"/>
    <x v="7"/>
    <x v="7"/>
  </r>
  <r>
    <s v="ORD-1322"/>
    <d v="2024-07-05T00:00:00"/>
    <x v="6"/>
    <x v="1"/>
    <n v="1"/>
    <n v="435"/>
    <n v="435"/>
    <x v="0"/>
    <x v="5"/>
    <x v="5"/>
  </r>
  <r>
    <s v="ORD-1323"/>
    <d v="2024-08-17T00:00:00"/>
    <x v="6"/>
    <x v="1"/>
    <n v="10"/>
    <n v="306"/>
    <n v="3060"/>
    <x v="0"/>
    <x v="6"/>
    <x v="6"/>
  </r>
  <r>
    <s v="ORD-1324"/>
    <d v="2024-08-28T00:00:00"/>
    <x v="1"/>
    <x v="1"/>
    <n v="5"/>
    <n v="843"/>
    <n v="4215"/>
    <x v="0"/>
    <x v="6"/>
    <x v="6"/>
  </r>
  <r>
    <s v="ORD-1325"/>
    <d v="2024-08-24T00:00:00"/>
    <x v="5"/>
    <x v="1"/>
    <n v="10"/>
    <n v="466"/>
    <n v="4660"/>
    <x v="2"/>
    <x v="6"/>
    <x v="6"/>
  </r>
  <r>
    <s v="ORD-1326"/>
    <d v="2024-08-02T00:00:00"/>
    <x v="2"/>
    <x v="0"/>
    <n v="9"/>
    <n v="555"/>
    <n v="4995"/>
    <x v="0"/>
    <x v="6"/>
    <x v="6"/>
  </r>
  <r>
    <s v="ORD-1327"/>
    <d v="2024-05-08T00:00:00"/>
    <x v="1"/>
    <x v="1"/>
    <n v="10"/>
    <n v="156"/>
    <n v="1560"/>
    <x v="1"/>
    <x v="0"/>
    <x v="0"/>
  </r>
  <r>
    <s v="ORD-1328"/>
    <d v="2024-02-22T00:00:00"/>
    <x v="6"/>
    <x v="1"/>
    <n v="6"/>
    <n v="582"/>
    <n v="3492"/>
    <x v="1"/>
    <x v="1"/>
    <x v="1"/>
  </r>
  <r>
    <s v="ORD-1329"/>
    <d v="2024-03-23T00:00:00"/>
    <x v="3"/>
    <x v="0"/>
    <n v="2"/>
    <n v="796"/>
    <n v="1592"/>
    <x v="2"/>
    <x v="10"/>
    <x v="10"/>
  </r>
  <r>
    <s v="ORD-1330"/>
    <d v="2024-08-11T00:00:00"/>
    <x v="6"/>
    <x v="1"/>
    <n v="9"/>
    <n v="165"/>
    <n v="1485"/>
    <x v="1"/>
    <x v="6"/>
    <x v="6"/>
  </r>
  <r>
    <s v="ORD-1331"/>
    <d v="2024-01-14T00:00:00"/>
    <x v="1"/>
    <x v="1"/>
    <n v="8"/>
    <n v="372"/>
    <n v="2976"/>
    <x v="3"/>
    <x v="2"/>
    <x v="2"/>
  </r>
  <r>
    <s v="ORD-1332"/>
    <d v="2024-07-10T00:00:00"/>
    <x v="7"/>
    <x v="1"/>
    <n v="7"/>
    <n v="529"/>
    <n v="3703"/>
    <x v="0"/>
    <x v="5"/>
    <x v="5"/>
  </r>
  <r>
    <s v="ORD-1333"/>
    <d v="2024-04-24T00:00:00"/>
    <x v="2"/>
    <x v="0"/>
    <n v="2"/>
    <n v="398"/>
    <n v="796"/>
    <x v="1"/>
    <x v="9"/>
    <x v="9"/>
  </r>
  <r>
    <s v="ORD-1334"/>
    <d v="2024-11-28T00:00:00"/>
    <x v="5"/>
    <x v="1"/>
    <n v="2"/>
    <n v="874"/>
    <n v="1748"/>
    <x v="2"/>
    <x v="8"/>
    <x v="8"/>
  </r>
  <r>
    <s v="ORD-1335"/>
    <d v="2024-05-26T00:00:00"/>
    <x v="4"/>
    <x v="0"/>
    <n v="3"/>
    <n v="54"/>
    <n v="162"/>
    <x v="3"/>
    <x v="0"/>
    <x v="0"/>
  </r>
  <r>
    <s v="ORD-1336"/>
    <d v="2024-11-11T00:00:00"/>
    <x v="4"/>
    <x v="0"/>
    <n v="8"/>
    <n v="474"/>
    <n v="3792"/>
    <x v="1"/>
    <x v="8"/>
    <x v="8"/>
  </r>
  <r>
    <s v="ORD-1337"/>
    <d v="2024-04-20T00:00:00"/>
    <x v="0"/>
    <x v="0"/>
    <n v="1"/>
    <n v="277"/>
    <n v="277"/>
    <x v="0"/>
    <x v="9"/>
    <x v="9"/>
  </r>
  <r>
    <s v="ORD-1338"/>
    <d v="2024-05-27T00:00:00"/>
    <x v="2"/>
    <x v="0"/>
    <n v="2"/>
    <n v="809"/>
    <n v="1618"/>
    <x v="0"/>
    <x v="0"/>
    <x v="0"/>
  </r>
  <r>
    <s v="ORD-1339"/>
    <d v="2024-05-02T00:00:00"/>
    <x v="3"/>
    <x v="0"/>
    <n v="2"/>
    <n v="63"/>
    <n v="126"/>
    <x v="3"/>
    <x v="0"/>
    <x v="0"/>
  </r>
  <r>
    <s v="ORD-1340"/>
    <d v="2024-09-12T00:00:00"/>
    <x v="6"/>
    <x v="1"/>
    <n v="2"/>
    <n v="128"/>
    <n v="256"/>
    <x v="1"/>
    <x v="11"/>
    <x v="11"/>
  </r>
  <r>
    <s v="ORD-1341"/>
    <d v="2024-08-07T00:00:00"/>
    <x v="1"/>
    <x v="1"/>
    <n v="3"/>
    <n v="313"/>
    <n v="939"/>
    <x v="1"/>
    <x v="6"/>
    <x v="6"/>
  </r>
  <r>
    <s v="ORD-1342"/>
    <d v="2024-08-01T00:00:00"/>
    <x v="5"/>
    <x v="1"/>
    <n v="4"/>
    <n v="599"/>
    <n v="2396"/>
    <x v="0"/>
    <x v="6"/>
    <x v="6"/>
  </r>
  <r>
    <s v="ORD-1343"/>
    <d v="2024-02-04T00:00:00"/>
    <x v="0"/>
    <x v="0"/>
    <n v="9"/>
    <n v="384"/>
    <n v="3456"/>
    <x v="1"/>
    <x v="1"/>
    <x v="1"/>
  </r>
  <r>
    <s v="ORD-1344"/>
    <d v="2024-11-21T00:00:00"/>
    <x v="2"/>
    <x v="0"/>
    <n v="8"/>
    <n v="59"/>
    <n v="472"/>
    <x v="3"/>
    <x v="8"/>
    <x v="8"/>
  </r>
  <r>
    <s v="ORD-1345"/>
    <d v="2024-01-09T00:00:00"/>
    <x v="5"/>
    <x v="1"/>
    <n v="5"/>
    <n v="780"/>
    <n v="3900"/>
    <x v="2"/>
    <x v="2"/>
    <x v="2"/>
  </r>
  <r>
    <s v="ORD-1346"/>
    <d v="2024-12-02T00:00:00"/>
    <x v="0"/>
    <x v="0"/>
    <n v="6"/>
    <n v="261"/>
    <n v="1566"/>
    <x v="1"/>
    <x v="7"/>
    <x v="7"/>
  </r>
  <r>
    <s v="ORD-1347"/>
    <d v="2024-06-29T00:00:00"/>
    <x v="5"/>
    <x v="1"/>
    <n v="3"/>
    <n v="60"/>
    <n v="180"/>
    <x v="2"/>
    <x v="4"/>
    <x v="4"/>
  </r>
  <r>
    <s v="ORD-1348"/>
    <d v="2024-09-02T00:00:00"/>
    <x v="4"/>
    <x v="0"/>
    <n v="8"/>
    <n v="727"/>
    <n v="5816"/>
    <x v="0"/>
    <x v="11"/>
    <x v="11"/>
  </r>
  <r>
    <s v="ORD-1349"/>
    <d v="2024-08-22T00:00:00"/>
    <x v="4"/>
    <x v="0"/>
    <n v="2"/>
    <n v="748"/>
    <n v="1496"/>
    <x v="1"/>
    <x v="6"/>
    <x v="6"/>
  </r>
  <r>
    <s v="ORD-1350"/>
    <d v="2024-04-12T00:00:00"/>
    <x v="3"/>
    <x v="0"/>
    <n v="4"/>
    <n v="59"/>
    <n v="236"/>
    <x v="1"/>
    <x v="9"/>
    <x v="9"/>
  </r>
  <r>
    <s v="ORD-1351"/>
    <d v="2024-07-22T00:00:00"/>
    <x v="5"/>
    <x v="1"/>
    <n v="5"/>
    <n v="542"/>
    <n v="2710"/>
    <x v="3"/>
    <x v="5"/>
    <x v="5"/>
  </r>
  <r>
    <s v="ORD-1352"/>
    <d v="2024-11-27T00:00:00"/>
    <x v="3"/>
    <x v="0"/>
    <n v="1"/>
    <n v="786"/>
    <n v="786"/>
    <x v="0"/>
    <x v="8"/>
    <x v="8"/>
  </r>
  <r>
    <s v="ORD-1354"/>
    <d v="2024-07-07T00:00:00"/>
    <x v="3"/>
    <x v="0"/>
    <n v="2"/>
    <n v="833"/>
    <n v="1666"/>
    <x v="3"/>
    <x v="5"/>
    <x v="5"/>
  </r>
  <r>
    <s v="ORD-1355"/>
    <d v="2024-06-22T00:00:00"/>
    <x v="2"/>
    <x v="0"/>
    <n v="8"/>
    <n v="410"/>
    <n v="3280"/>
    <x v="0"/>
    <x v="4"/>
    <x v="4"/>
  </r>
  <r>
    <s v="ORD-1356"/>
    <d v="2024-09-22T00:00:00"/>
    <x v="6"/>
    <x v="1"/>
    <n v="8"/>
    <n v="391"/>
    <n v="3128"/>
    <x v="2"/>
    <x v="11"/>
    <x v="11"/>
  </r>
  <r>
    <s v="ORD-1357"/>
    <d v="2024-08-08T00:00:00"/>
    <x v="0"/>
    <x v="0"/>
    <n v="7"/>
    <n v="95"/>
    <n v="665"/>
    <x v="0"/>
    <x v="6"/>
    <x v="6"/>
  </r>
  <r>
    <s v="ORD-1358"/>
    <d v="2024-02-10T00:00:00"/>
    <x v="3"/>
    <x v="0"/>
    <n v="6"/>
    <n v="120"/>
    <n v="720"/>
    <x v="2"/>
    <x v="1"/>
    <x v="1"/>
  </r>
  <r>
    <s v="ORD-1359"/>
    <d v="2024-11-04T00:00:00"/>
    <x v="3"/>
    <x v="0"/>
    <n v="5"/>
    <n v="471"/>
    <n v="2355"/>
    <x v="3"/>
    <x v="8"/>
    <x v="8"/>
  </r>
  <r>
    <s v="ORD-1360"/>
    <d v="2024-08-16T00:00:00"/>
    <x v="4"/>
    <x v="0"/>
    <n v="8"/>
    <n v="374"/>
    <n v="2992"/>
    <x v="1"/>
    <x v="6"/>
    <x v="6"/>
  </r>
  <r>
    <s v="ORD-1361"/>
    <d v="2024-05-20T00:00:00"/>
    <x v="5"/>
    <x v="1"/>
    <n v="10"/>
    <n v="460"/>
    <n v="4600"/>
    <x v="1"/>
    <x v="0"/>
    <x v="0"/>
  </r>
  <r>
    <s v="ORD-1362"/>
    <d v="2024-09-19T00:00:00"/>
    <x v="0"/>
    <x v="0"/>
    <n v="7"/>
    <n v="387"/>
    <n v="2709"/>
    <x v="0"/>
    <x v="11"/>
    <x v="11"/>
  </r>
  <r>
    <s v="ORD-1363"/>
    <d v="2024-11-07T00:00:00"/>
    <x v="7"/>
    <x v="1"/>
    <n v="3"/>
    <n v="884"/>
    <n v="2652"/>
    <x v="3"/>
    <x v="8"/>
    <x v="8"/>
  </r>
  <r>
    <s v="ORD-1364"/>
    <d v="2024-04-30T00:00:00"/>
    <x v="7"/>
    <x v="1"/>
    <n v="3"/>
    <n v="83"/>
    <n v="249"/>
    <x v="2"/>
    <x v="9"/>
    <x v="9"/>
  </r>
  <r>
    <s v="ORD-1365"/>
    <d v="2024-01-17T00:00:00"/>
    <x v="5"/>
    <x v="1"/>
    <n v="7"/>
    <n v="595"/>
    <n v="4165"/>
    <x v="0"/>
    <x v="2"/>
    <x v="2"/>
  </r>
  <r>
    <s v="ORD-1366"/>
    <d v="2024-08-15T00:00:00"/>
    <x v="6"/>
    <x v="1"/>
    <n v="6"/>
    <n v="395"/>
    <n v="2370"/>
    <x v="1"/>
    <x v="6"/>
    <x v="6"/>
  </r>
  <r>
    <s v="ORD-1367"/>
    <d v="2024-07-22T00:00:00"/>
    <x v="4"/>
    <x v="0"/>
    <n v="9"/>
    <n v="390"/>
    <n v="3510"/>
    <x v="2"/>
    <x v="5"/>
    <x v="5"/>
  </r>
  <r>
    <s v="ORD-1368"/>
    <d v="2024-01-14T00:00:00"/>
    <x v="3"/>
    <x v="0"/>
    <n v="4"/>
    <n v="131"/>
    <n v="524"/>
    <x v="0"/>
    <x v="2"/>
    <x v="2"/>
  </r>
  <r>
    <s v="ORD-1369"/>
    <d v="2024-10-14T00:00:00"/>
    <x v="6"/>
    <x v="1"/>
    <n v="9"/>
    <n v="411"/>
    <n v="3699"/>
    <x v="1"/>
    <x v="3"/>
    <x v="3"/>
  </r>
  <r>
    <s v="ORD-1370"/>
    <d v="2024-08-16T00:00:00"/>
    <x v="3"/>
    <x v="0"/>
    <n v="5"/>
    <n v="735"/>
    <n v="3675"/>
    <x v="0"/>
    <x v="6"/>
    <x v="6"/>
  </r>
  <r>
    <s v="ORD-1371"/>
    <d v="2024-03-03T00:00:00"/>
    <x v="3"/>
    <x v="0"/>
    <n v="8"/>
    <n v="219"/>
    <n v="1752"/>
    <x v="0"/>
    <x v="10"/>
    <x v="10"/>
  </r>
  <r>
    <s v="ORD-1372"/>
    <d v="2024-08-15T00:00:00"/>
    <x v="0"/>
    <x v="0"/>
    <n v="8"/>
    <n v="191"/>
    <n v="1528"/>
    <x v="1"/>
    <x v="6"/>
    <x v="6"/>
  </r>
  <r>
    <s v="ORD-1373"/>
    <d v="2024-02-03T00:00:00"/>
    <x v="5"/>
    <x v="1"/>
    <n v="6"/>
    <n v="741"/>
    <n v="4446"/>
    <x v="2"/>
    <x v="1"/>
    <x v="1"/>
  </r>
  <r>
    <s v="ORD-1374"/>
    <d v="2024-12-29T00:00:00"/>
    <x v="3"/>
    <x v="0"/>
    <n v="3"/>
    <n v="743"/>
    <n v="2229"/>
    <x v="0"/>
    <x v="7"/>
    <x v="7"/>
  </r>
  <r>
    <s v="ORD-1375"/>
    <d v="2024-03-03T00:00:00"/>
    <x v="5"/>
    <x v="1"/>
    <n v="9"/>
    <n v="244"/>
    <n v="2196"/>
    <x v="0"/>
    <x v="10"/>
    <x v="10"/>
  </r>
  <r>
    <s v="ORD-1376"/>
    <d v="2024-09-09T00:00:00"/>
    <x v="4"/>
    <x v="0"/>
    <n v="4"/>
    <n v="824"/>
    <n v="3296"/>
    <x v="1"/>
    <x v="11"/>
    <x v="11"/>
  </r>
  <r>
    <s v="ORD-1377"/>
    <d v="2024-07-07T00:00:00"/>
    <x v="5"/>
    <x v="1"/>
    <n v="9"/>
    <n v="601"/>
    <n v="5409"/>
    <x v="3"/>
    <x v="5"/>
    <x v="5"/>
  </r>
  <r>
    <s v="ORD-1378"/>
    <d v="2024-02-03T00:00:00"/>
    <x v="4"/>
    <x v="0"/>
    <n v="10"/>
    <n v="103"/>
    <n v="1030"/>
    <x v="2"/>
    <x v="1"/>
    <x v="1"/>
  </r>
  <r>
    <s v="ORD-1379"/>
    <d v="2024-07-29T00:00:00"/>
    <x v="2"/>
    <x v="0"/>
    <n v="8"/>
    <n v="553"/>
    <n v="4424"/>
    <x v="3"/>
    <x v="5"/>
    <x v="5"/>
  </r>
  <r>
    <s v="ORD-1380"/>
    <d v="2024-11-24T00:00:00"/>
    <x v="0"/>
    <x v="0"/>
    <n v="3"/>
    <n v="339"/>
    <n v="1017"/>
    <x v="1"/>
    <x v="8"/>
    <x v="8"/>
  </r>
  <r>
    <s v="ORD-1381"/>
    <d v="2024-09-21T00:00:00"/>
    <x v="6"/>
    <x v="1"/>
    <n v="8"/>
    <n v="711"/>
    <n v="5688"/>
    <x v="2"/>
    <x v="11"/>
    <x v="11"/>
  </r>
  <r>
    <s v="ORD-1382"/>
    <d v="2024-10-27T00:00:00"/>
    <x v="4"/>
    <x v="0"/>
    <n v="9"/>
    <n v="670"/>
    <n v="6030"/>
    <x v="0"/>
    <x v="3"/>
    <x v="3"/>
  </r>
  <r>
    <s v="ORD-1383"/>
    <d v="2024-01-29T00:00:00"/>
    <x v="4"/>
    <x v="0"/>
    <n v="7"/>
    <n v="529"/>
    <n v="3703"/>
    <x v="1"/>
    <x v="2"/>
    <x v="2"/>
  </r>
  <r>
    <s v="ORD-1384"/>
    <d v="2024-03-23T00:00:00"/>
    <x v="4"/>
    <x v="0"/>
    <n v="5"/>
    <n v="183"/>
    <n v="915"/>
    <x v="2"/>
    <x v="10"/>
    <x v="10"/>
  </r>
  <r>
    <s v="ORD-1385"/>
    <d v="2024-05-25T00:00:00"/>
    <x v="1"/>
    <x v="1"/>
    <n v="6"/>
    <n v="546"/>
    <n v="3276"/>
    <x v="1"/>
    <x v="0"/>
    <x v="0"/>
  </r>
  <r>
    <s v="ORD-1386"/>
    <d v="2024-10-09T00:00:00"/>
    <x v="3"/>
    <x v="0"/>
    <n v="4"/>
    <n v="665"/>
    <n v="2660"/>
    <x v="2"/>
    <x v="3"/>
    <x v="3"/>
  </r>
  <r>
    <s v="ORD-1387"/>
    <d v="2024-09-30T00:00:00"/>
    <x v="4"/>
    <x v="0"/>
    <n v="5"/>
    <n v="644"/>
    <n v="3220"/>
    <x v="1"/>
    <x v="11"/>
    <x v="11"/>
  </r>
  <r>
    <s v="ORD-1388"/>
    <d v="2024-03-19T00:00:00"/>
    <x v="4"/>
    <x v="0"/>
    <n v="10"/>
    <n v="609"/>
    <n v="6090"/>
    <x v="0"/>
    <x v="10"/>
    <x v="10"/>
  </r>
  <r>
    <s v="ORD-1389"/>
    <d v="2024-01-15T00:00:00"/>
    <x v="5"/>
    <x v="1"/>
    <n v="10"/>
    <n v="57"/>
    <n v="570"/>
    <x v="1"/>
    <x v="2"/>
    <x v="2"/>
  </r>
  <r>
    <s v="ORD-1390"/>
    <d v="2024-11-29T00:00:00"/>
    <x v="7"/>
    <x v="1"/>
    <n v="10"/>
    <n v="286"/>
    <n v="2860"/>
    <x v="0"/>
    <x v="8"/>
    <x v="8"/>
  </r>
  <r>
    <s v="ORD-1391"/>
    <d v="2024-01-16T00:00:00"/>
    <x v="2"/>
    <x v="0"/>
    <n v="10"/>
    <n v="669"/>
    <n v="6690"/>
    <x v="3"/>
    <x v="2"/>
    <x v="2"/>
  </r>
  <r>
    <s v="ORD-1392"/>
    <d v="2024-05-05T00:00:00"/>
    <x v="3"/>
    <x v="0"/>
    <n v="5"/>
    <n v="509"/>
    <n v="2545"/>
    <x v="3"/>
    <x v="0"/>
    <x v="0"/>
  </r>
  <r>
    <s v="ORD-1393"/>
    <d v="2024-12-18T00:00:00"/>
    <x v="3"/>
    <x v="0"/>
    <n v="8"/>
    <n v="89"/>
    <n v="712"/>
    <x v="1"/>
    <x v="7"/>
    <x v="7"/>
  </r>
  <r>
    <s v="ORD-1394"/>
    <d v="2024-09-04T00:00:00"/>
    <x v="4"/>
    <x v="0"/>
    <n v="8"/>
    <n v="440"/>
    <n v="3520"/>
    <x v="3"/>
    <x v="11"/>
    <x v="11"/>
  </r>
  <r>
    <s v="ORD-1395"/>
    <d v="2024-03-14T00:00:00"/>
    <x v="1"/>
    <x v="1"/>
    <n v="6"/>
    <n v="636"/>
    <n v="3816"/>
    <x v="2"/>
    <x v="10"/>
    <x v="10"/>
  </r>
  <r>
    <s v="ORD-1396"/>
    <d v="2024-03-07T00:00:00"/>
    <x v="5"/>
    <x v="1"/>
    <n v="6"/>
    <n v="423"/>
    <n v="2538"/>
    <x v="2"/>
    <x v="10"/>
    <x v="10"/>
  </r>
  <r>
    <s v="ORD-1397"/>
    <d v="2024-08-26T00:00:00"/>
    <x v="0"/>
    <x v="0"/>
    <n v="6"/>
    <n v="262"/>
    <n v="1572"/>
    <x v="1"/>
    <x v="6"/>
    <x v="6"/>
  </r>
  <r>
    <s v="ORD-1398"/>
    <d v="2024-03-13T00:00:00"/>
    <x v="3"/>
    <x v="0"/>
    <n v="8"/>
    <n v="268"/>
    <n v="2144"/>
    <x v="1"/>
    <x v="10"/>
    <x v="10"/>
  </r>
  <r>
    <s v="ORD-1399"/>
    <d v="2024-11-11T00:00:00"/>
    <x v="7"/>
    <x v="1"/>
    <n v="5"/>
    <n v="408"/>
    <n v="2040"/>
    <x v="3"/>
    <x v="8"/>
    <x v="8"/>
  </r>
  <r>
    <s v="ORD-1400"/>
    <d v="2024-06-16T00:00:00"/>
    <x v="1"/>
    <x v="1"/>
    <n v="3"/>
    <n v="848"/>
    <n v="2544"/>
    <x v="2"/>
    <x v="4"/>
    <x v="4"/>
  </r>
  <r>
    <s v="ORD-1401"/>
    <d v="2024-09-20T00:00:00"/>
    <x v="1"/>
    <x v="1"/>
    <n v="3"/>
    <n v="525"/>
    <n v="1575"/>
    <x v="3"/>
    <x v="11"/>
    <x v="11"/>
  </r>
  <r>
    <s v="ORD-1402"/>
    <d v="2024-01-12T00:00:00"/>
    <x v="6"/>
    <x v="1"/>
    <n v="5"/>
    <n v="524"/>
    <n v="2620"/>
    <x v="1"/>
    <x v="2"/>
    <x v="2"/>
  </r>
  <r>
    <s v="ORD-1403"/>
    <d v="2024-05-03T00:00:00"/>
    <x v="2"/>
    <x v="0"/>
    <n v="9"/>
    <n v="483"/>
    <n v="4347"/>
    <x v="0"/>
    <x v="0"/>
    <x v="0"/>
  </r>
  <r>
    <s v="ORD-1405"/>
    <d v="2024-01-05T00:00:00"/>
    <x v="6"/>
    <x v="1"/>
    <n v="5"/>
    <n v="564"/>
    <n v="2820"/>
    <x v="1"/>
    <x v="2"/>
    <x v="2"/>
  </r>
  <r>
    <s v="ORD-1406"/>
    <d v="2024-07-06T00:00:00"/>
    <x v="2"/>
    <x v="0"/>
    <n v="3"/>
    <n v="285"/>
    <n v="855"/>
    <x v="3"/>
    <x v="5"/>
    <x v="5"/>
  </r>
  <r>
    <s v="ORD-1407"/>
    <d v="2024-01-27T00:00:00"/>
    <x v="5"/>
    <x v="1"/>
    <n v="1"/>
    <n v="425"/>
    <n v="425"/>
    <x v="0"/>
    <x v="2"/>
    <x v="2"/>
  </r>
  <r>
    <s v="ORD-1408"/>
    <d v="2024-02-07T00:00:00"/>
    <x v="5"/>
    <x v="1"/>
    <n v="9"/>
    <n v="310"/>
    <n v="2790"/>
    <x v="3"/>
    <x v="1"/>
    <x v="1"/>
  </r>
  <r>
    <s v="ORD-1409"/>
    <d v="2024-11-15T00:00:00"/>
    <x v="6"/>
    <x v="1"/>
    <n v="9"/>
    <n v="301"/>
    <n v="2709"/>
    <x v="1"/>
    <x v="8"/>
    <x v="8"/>
  </r>
  <r>
    <s v="ORD-1410"/>
    <d v="2024-07-10T00:00:00"/>
    <x v="4"/>
    <x v="0"/>
    <n v="2"/>
    <n v="418"/>
    <n v="836"/>
    <x v="2"/>
    <x v="5"/>
    <x v="5"/>
  </r>
  <r>
    <s v="ORD-1411"/>
    <d v="2024-11-04T00:00:00"/>
    <x v="5"/>
    <x v="1"/>
    <n v="3"/>
    <n v="218"/>
    <n v="654"/>
    <x v="3"/>
    <x v="8"/>
    <x v="8"/>
  </r>
  <r>
    <s v="ORD-1412"/>
    <d v="2024-03-11T00:00:00"/>
    <x v="7"/>
    <x v="1"/>
    <n v="1"/>
    <n v="54"/>
    <n v="54"/>
    <x v="2"/>
    <x v="10"/>
    <x v="10"/>
  </r>
  <r>
    <s v="ORD-1413"/>
    <d v="2024-03-17T00:00:00"/>
    <x v="6"/>
    <x v="1"/>
    <n v="9"/>
    <n v="482"/>
    <n v="4338"/>
    <x v="0"/>
    <x v="10"/>
    <x v="10"/>
  </r>
  <r>
    <s v="ORD-1414"/>
    <d v="2024-03-24T00:00:00"/>
    <x v="5"/>
    <x v="1"/>
    <n v="10"/>
    <n v="341"/>
    <n v="3410"/>
    <x v="3"/>
    <x v="10"/>
    <x v="10"/>
  </r>
  <r>
    <s v="ORD-1415"/>
    <d v="2024-09-16T00:00:00"/>
    <x v="3"/>
    <x v="0"/>
    <n v="10"/>
    <n v="359"/>
    <n v="3590"/>
    <x v="3"/>
    <x v="11"/>
    <x v="11"/>
  </r>
  <r>
    <s v="ORD-1416"/>
    <d v="2024-01-09T00:00:00"/>
    <x v="3"/>
    <x v="0"/>
    <n v="8"/>
    <n v="850"/>
    <n v="6800"/>
    <x v="2"/>
    <x v="2"/>
    <x v="2"/>
  </r>
  <r>
    <s v="ORD-1417"/>
    <d v="2024-10-25T00:00:00"/>
    <x v="5"/>
    <x v="1"/>
    <n v="2"/>
    <n v="441"/>
    <n v="882"/>
    <x v="2"/>
    <x v="3"/>
    <x v="3"/>
  </r>
  <r>
    <s v="ORD-1418"/>
    <d v="2024-05-15T00:00:00"/>
    <x v="7"/>
    <x v="1"/>
    <n v="10"/>
    <n v="500"/>
    <n v="5000"/>
    <x v="0"/>
    <x v="0"/>
    <x v="0"/>
  </r>
  <r>
    <s v="ORD-1419"/>
    <d v="2024-03-28T00:00:00"/>
    <x v="7"/>
    <x v="1"/>
    <n v="10"/>
    <n v="506"/>
    <n v="5060"/>
    <x v="3"/>
    <x v="10"/>
    <x v="10"/>
  </r>
  <r>
    <s v="ORD-1420"/>
    <d v="2024-10-20T00:00:00"/>
    <x v="4"/>
    <x v="0"/>
    <n v="4"/>
    <n v="47"/>
    <n v="188"/>
    <x v="1"/>
    <x v="3"/>
    <x v="3"/>
  </r>
  <r>
    <s v="ORD-1421"/>
    <d v="2024-06-09T00:00:00"/>
    <x v="1"/>
    <x v="1"/>
    <n v="1"/>
    <n v="466"/>
    <n v="466"/>
    <x v="3"/>
    <x v="4"/>
    <x v="4"/>
  </r>
  <r>
    <s v="ORD-1422"/>
    <d v="2024-04-14T00:00:00"/>
    <x v="4"/>
    <x v="0"/>
    <n v="7"/>
    <n v="722"/>
    <n v="5054"/>
    <x v="3"/>
    <x v="9"/>
    <x v="9"/>
  </r>
  <r>
    <s v="ORD-1424"/>
    <d v="2024-07-11T00:00:00"/>
    <x v="5"/>
    <x v="1"/>
    <n v="8"/>
    <n v="553"/>
    <n v="4424"/>
    <x v="2"/>
    <x v="5"/>
    <x v="5"/>
  </r>
  <r>
    <s v="ORD-1425"/>
    <d v="2024-06-24T00:00:00"/>
    <x v="4"/>
    <x v="0"/>
    <n v="8"/>
    <n v="560"/>
    <n v="4480"/>
    <x v="2"/>
    <x v="4"/>
    <x v="4"/>
  </r>
  <r>
    <s v="ORD-1426"/>
    <d v="2024-04-08T00:00:00"/>
    <x v="3"/>
    <x v="0"/>
    <n v="10"/>
    <n v="510"/>
    <n v="5100"/>
    <x v="0"/>
    <x v="9"/>
    <x v="9"/>
  </r>
  <r>
    <s v="ORD-1427"/>
    <d v="2024-04-25T00:00:00"/>
    <x v="3"/>
    <x v="0"/>
    <n v="9"/>
    <n v="320"/>
    <n v="2880"/>
    <x v="2"/>
    <x v="9"/>
    <x v="9"/>
  </r>
  <r>
    <s v="ORD-1428"/>
    <d v="2024-12-26T00:00:00"/>
    <x v="3"/>
    <x v="0"/>
    <n v="4"/>
    <n v="721"/>
    <n v="2884"/>
    <x v="3"/>
    <x v="7"/>
    <x v="7"/>
  </r>
  <r>
    <s v="ORD-1429"/>
    <d v="2024-10-13T00:00:00"/>
    <x v="5"/>
    <x v="1"/>
    <n v="8"/>
    <n v="372"/>
    <n v="2976"/>
    <x v="2"/>
    <x v="3"/>
    <x v="3"/>
  </r>
  <r>
    <s v="ORD-1430"/>
    <d v="2024-12-12T00:00:00"/>
    <x v="3"/>
    <x v="0"/>
    <n v="2"/>
    <n v="602"/>
    <n v="1204"/>
    <x v="3"/>
    <x v="7"/>
    <x v="7"/>
  </r>
  <r>
    <s v="ORD-1431"/>
    <d v="2024-03-15T00:00:00"/>
    <x v="2"/>
    <x v="0"/>
    <n v="6"/>
    <n v="806"/>
    <n v="4836"/>
    <x v="2"/>
    <x v="10"/>
    <x v="10"/>
  </r>
  <r>
    <s v="ORD-1432"/>
    <d v="2024-02-10T00:00:00"/>
    <x v="7"/>
    <x v="1"/>
    <n v="5"/>
    <n v="746"/>
    <n v="3730"/>
    <x v="2"/>
    <x v="1"/>
    <x v="1"/>
  </r>
  <r>
    <s v="ORD-1433"/>
    <d v="2024-09-02T00:00:00"/>
    <x v="6"/>
    <x v="1"/>
    <n v="5"/>
    <n v="780"/>
    <n v="3900"/>
    <x v="0"/>
    <x v="11"/>
    <x v="11"/>
  </r>
  <r>
    <s v="ORD-1434"/>
    <d v="2024-10-14T00:00:00"/>
    <x v="1"/>
    <x v="1"/>
    <n v="9"/>
    <n v="292"/>
    <n v="2628"/>
    <x v="2"/>
    <x v="3"/>
    <x v="3"/>
  </r>
  <r>
    <s v="ORD-1435"/>
    <d v="2024-10-27T00:00:00"/>
    <x v="4"/>
    <x v="0"/>
    <n v="2"/>
    <n v="645"/>
    <n v="1290"/>
    <x v="0"/>
    <x v="3"/>
    <x v="3"/>
  </r>
  <r>
    <s v="ORD-1436"/>
    <d v="2024-09-28T00:00:00"/>
    <x v="1"/>
    <x v="1"/>
    <n v="1"/>
    <n v="700"/>
    <n v="700"/>
    <x v="0"/>
    <x v="11"/>
    <x v="11"/>
  </r>
  <r>
    <s v="ORD-1437"/>
    <d v="2024-07-30T00:00:00"/>
    <x v="1"/>
    <x v="1"/>
    <n v="1"/>
    <n v="117"/>
    <n v="117"/>
    <x v="2"/>
    <x v="5"/>
    <x v="5"/>
  </r>
  <r>
    <s v="ORD-1438"/>
    <d v="2024-03-11T00:00:00"/>
    <x v="6"/>
    <x v="1"/>
    <n v="2"/>
    <n v="712"/>
    <n v="1424"/>
    <x v="1"/>
    <x v="10"/>
    <x v="10"/>
  </r>
  <r>
    <s v="ORD-1439"/>
    <d v="2024-08-31T00:00:00"/>
    <x v="4"/>
    <x v="0"/>
    <n v="7"/>
    <n v="683"/>
    <n v="4781"/>
    <x v="3"/>
    <x v="6"/>
    <x v="6"/>
  </r>
  <r>
    <s v="ORD-1440"/>
    <d v="2024-05-26T00:00:00"/>
    <x v="1"/>
    <x v="1"/>
    <n v="5"/>
    <n v="343"/>
    <n v="1715"/>
    <x v="1"/>
    <x v="0"/>
    <x v="0"/>
  </r>
  <r>
    <s v="ORD-1441"/>
    <d v="2024-09-30T00:00:00"/>
    <x v="0"/>
    <x v="0"/>
    <n v="10"/>
    <n v="252"/>
    <n v="2520"/>
    <x v="1"/>
    <x v="11"/>
    <x v="11"/>
  </r>
  <r>
    <s v="ORD-1442"/>
    <d v="2024-03-31T00:00:00"/>
    <x v="4"/>
    <x v="0"/>
    <n v="7"/>
    <n v="872"/>
    <n v="6104"/>
    <x v="1"/>
    <x v="10"/>
    <x v="10"/>
  </r>
  <r>
    <s v="ORD-1443"/>
    <d v="2024-05-28T00:00:00"/>
    <x v="2"/>
    <x v="0"/>
    <n v="8"/>
    <n v="205"/>
    <n v="1640"/>
    <x v="1"/>
    <x v="0"/>
    <x v="0"/>
  </r>
  <r>
    <s v="ORD-1444"/>
    <d v="2024-11-04T00:00:00"/>
    <x v="7"/>
    <x v="1"/>
    <n v="5"/>
    <n v="596"/>
    <n v="2980"/>
    <x v="1"/>
    <x v="8"/>
    <x v="8"/>
  </r>
  <r>
    <s v="ORD-1445"/>
    <d v="2024-11-24T00:00:00"/>
    <x v="5"/>
    <x v="1"/>
    <n v="5"/>
    <n v="480"/>
    <n v="2400"/>
    <x v="3"/>
    <x v="8"/>
    <x v="8"/>
  </r>
  <r>
    <s v="ORD-1446"/>
    <d v="2024-05-19T00:00:00"/>
    <x v="4"/>
    <x v="0"/>
    <n v="9"/>
    <n v="494"/>
    <n v="4446"/>
    <x v="0"/>
    <x v="0"/>
    <x v="0"/>
  </r>
  <r>
    <s v="ORD-1447"/>
    <d v="2024-08-22T00:00:00"/>
    <x v="0"/>
    <x v="0"/>
    <n v="6"/>
    <n v="181"/>
    <n v="1086"/>
    <x v="2"/>
    <x v="6"/>
    <x v="6"/>
  </r>
  <r>
    <s v="ORD-1448"/>
    <d v="2024-06-21T00:00:00"/>
    <x v="4"/>
    <x v="0"/>
    <n v="1"/>
    <n v="769"/>
    <n v="769"/>
    <x v="2"/>
    <x v="4"/>
    <x v="4"/>
  </r>
  <r>
    <s v="ORD-1449"/>
    <d v="2024-11-23T00:00:00"/>
    <x v="1"/>
    <x v="1"/>
    <n v="3"/>
    <n v="640"/>
    <n v="1920"/>
    <x v="3"/>
    <x v="8"/>
    <x v="8"/>
  </r>
  <r>
    <s v="ORD-1450"/>
    <d v="2024-02-14T00:00:00"/>
    <x v="2"/>
    <x v="0"/>
    <n v="9"/>
    <n v="350"/>
    <n v="3150"/>
    <x v="3"/>
    <x v="1"/>
    <x v="1"/>
  </r>
  <r>
    <s v="ORD-1451"/>
    <d v="2024-09-01T00:00:00"/>
    <x v="0"/>
    <x v="0"/>
    <n v="3"/>
    <n v="158"/>
    <n v="474"/>
    <x v="2"/>
    <x v="11"/>
    <x v="11"/>
  </r>
  <r>
    <s v="ORD-1452"/>
    <d v="2024-07-15T00:00:00"/>
    <x v="1"/>
    <x v="1"/>
    <n v="1"/>
    <n v="282"/>
    <n v="282"/>
    <x v="0"/>
    <x v="5"/>
    <x v="5"/>
  </r>
  <r>
    <s v="ORD-1453"/>
    <d v="2024-06-03T00:00:00"/>
    <x v="6"/>
    <x v="1"/>
    <n v="5"/>
    <n v="352"/>
    <n v="1760"/>
    <x v="1"/>
    <x v="4"/>
    <x v="4"/>
  </r>
  <r>
    <s v="ORD-1454"/>
    <d v="2024-04-30T00:00:00"/>
    <x v="3"/>
    <x v="0"/>
    <n v="6"/>
    <n v="724"/>
    <n v="4344"/>
    <x v="1"/>
    <x v="9"/>
    <x v="9"/>
  </r>
  <r>
    <s v="ORD-1455"/>
    <d v="2024-03-22T00:00:00"/>
    <x v="0"/>
    <x v="0"/>
    <n v="8"/>
    <n v="329"/>
    <n v="2632"/>
    <x v="3"/>
    <x v="10"/>
    <x v="10"/>
  </r>
  <r>
    <s v="ORD-1456"/>
    <d v="2024-05-31T00:00:00"/>
    <x v="3"/>
    <x v="0"/>
    <n v="2"/>
    <n v="669"/>
    <n v="1338"/>
    <x v="2"/>
    <x v="0"/>
    <x v="0"/>
  </r>
  <r>
    <s v="ORD-1457"/>
    <d v="2024-09-01T00:00:00"/>
    <x v="1"/>
    <x v="1"/>
    <n v="4"/>
    <n v="151"/>
    <n v="604"/>
    <x v="0"/>
    <x v="11"/>
    <x v="11"/>
  </r>
  <r>
    <s v="ORD-1458"/>
    <d v="2024-07-31T00:00:00"/>
    <x v="6"/>
    <x v="1"/>
    <n v="10"/>
    <n v="397"/>
    <n v="3970"/>
    <x v="3"/>
    <x v="5"/>
    <x v="5"/>
  </r>
  <r>
    <s v="ORD-1459"/>
    <d v="2024-11-01T00:00:00"/>
    <x v="1"/>
    <x v="1"/>
    <n v="4"/>
    <n v="711"/>
    <n v="2844"/>
    <x v="1"/>
    <x v="8"/>
    <x v="8"/>
  </r>
  <r>
    <s v="ORD-1460"/>
    <d v="2024-07-04T00:00:00"/>
    <x v="6"/>
    <x v="1"/>
    <n v="9"/>
    <n v="735"/>
    <n v="6615"/>
    <x v="1"/>
    <x v="5"/>
    <x v="5"/>
  </r>
  <r>
    <s v="ORD-1461"/>
    <d v="2024-10-07T00:00:00"/>
    <x v="0"/>
    <x v="0"/>
    <n v="1"/>
    <n v="863"/>
    <n v="863"/>
    <x v="0"/>
    <x v="3"/>
    <x v="3"/>
  </r>
  <r>
    <s v="ORD-1462"/>
    <d v="2024-09-23T00:00:00"/>
    <x v="4"/>
    <x v="0"/>
    <n v="3"/>
    <n v="350"/>
    <n v="1050"/>
    <x v="3"/>
    <x v="11"/>
    <x v="11"/>
  </r>
  <r>
    <s v="ORD-1463"/>
    <d v="2024-10-25T00:00:00"/>
    <x v="0"/>
    <x v="0"/>
    <n v="4"/>
    <n v="749"/>
    <n v="2996"/>
    <x v="3"/>
    <x v="3"/>
    <x v="3"/>
  </r>
  <r>
    <s v="ORD-1464"/>
    <d v="2024-01-29T00:00:00"/>
    <x v="0"/>
    <x v="0"/>
    <n v="9"/>
    <n v="471"/>
    <n v="4239"/>
    <x v="3"/>
    <x v="2"/>
    <x v="2"/>
  </r>
  <r>
    <s v="ORD-1465"/>
    <d v="2024-08-21T00:00:00"/>
    <x v="4"/>
    <x v="0"/>
    <n v="9"/>
    <n v="440"/>
    <n v="3960"/>
    <x v="1"/>
    <x v="6"/>
    <x v="6"/>
  </r>
  <r>
    <s v="ORD-1466"/>
    <d v="2024-01-12T00:00:00"/>
    <x v="6"/>
    <x v="1"/>
    <n v="5"/>
    <n v="755"/>
    <n v="3775"/>
    <x v="3"/>
    <x v="2"/>
    <x v="2"/>
  </r>
  <r>
    <s v="ORD-1467"/>
    <d v="2024-04-21T00:00:00"/>
    <x v="3"/>
    <x v="0"/>
    <n v="1"/>
    <n v="778"/>
    <n v="778"/>
    <x v="1"/>
    <x v="9"/>
    <x v="9"/>
  </r>
  <r>
    <s v="ORD-1468"/>
    <d v="2024-12-24T00:00:00"/>
    <x v="7"/>
    <x v="1"/>
    <n v="7"/>
    <n v="367"/>
    <n v="2569"/>
    <x v="1"/>
    <x v="7"/>
    <x v="7"/>
  </r>
  <r>
    <s v="ORD-1469"/>
    <d v="2024-01-17T00:00:00"/>
    <x v="7"/>
    <x v="1"/>
    <n v="2"/>
    <n v="498"/>
    <n v="996"/>
    <x v="2"/>
    <x v="2"/>
    <x v="2"/>
  </r>
  <r>
    <s v="ORD-1470"/>
    <d v="2024-03-10T00:00:00"/>
    <x v="2"/>
    <x v="0"/>
    <n v="3"/>
    <n v="802"/>
    <n v="2406"/>
    <x v="3"/>
    <x v="10"/>
    <x v="10"/>
  </r>
  <r>
    <s v="ORD-1471"/>
    <d v="2024-07-12T00:00:00"/>
    <x v="5"/>
    <x v="1"/>
    <n v="7"/>
    <n v="474"/>
    <n v="3318"/>
    <x v="3"/>
    <x v="5"/>
    <x v="5"/>
  </r>
  <r>
    <s v="ORD-1472"/>
    <d v="2024-11-30T00:00:00"/>
    <x v="0"/>
    <x v="0"/>
    <n v="9"/>
    <n v="151"/>
    <n v="1359"/>
    <x v="2"/>
    <x v="8"/>
    <x v="8"/>
  </r>
  <r>
    <s v="ORD-1474"/>
    <d v="2024-01-12T00:00:00"/>
    <x v="1"/>
    <x v="1"/>
    <n v="1"/>
    <n v="789"/>
    <n v="789"/>
    <x v="2"/>
    <x v="2"/>
    <x v="2"/>
  </r>
  <r>
    <s v="ORD-1475"/>
    <d v="2024-09-29T00:00:00"/>
    <x v="6"/>
    <x v="1"/>
    <n v="9"/>
    <n v="449"/>
    <n v="4041"/>
    <x v="3"/>
    <x v="11"/>
    <x v="11"/>
  </r>
  <r>
    <s v="ORD-1476"/>
    <d v="2024-06-26T00:00:00"/>
    <x v="1"/>
    <x v="1"/>
    <n v="4"/>
    <n v="486"/>
    <n v="1944"/>
    <x v="0"/>
    <x v="4"/>
    <x v="4"/>
  </r>
  <r>
    <s v="ORD-1477"/>
    <d v="2024-02-27T00:00:00"/>
    <x v="3"/>
    <x v="0"/>
    <n v="4"/>
    <n v="757"/>
    <n v="3028"/>
    <x v="1"/>
    <x v="1"/>
    <x v="1"/>
  </r>
  <r>
    <s v="ORD-1478"/>
    <d v="2024-01-09T00:00:00"/>
    <x v="2"/>
    <x v="0"/>
    <n v="10"/>
    <n v="799"/>
    <n v="7990"/>
    <x v="0"/>
    <x v="2"/>
    <x v="2"/>
  </r>
  <r>
    <s v="ORD-1479"/>
    <d v="2024-10-31T00:00:00"/>
    <x v="1"/>
    <x v="1"/>
    <n v="2"/>
    <n v="118"/>
    <n v="236"/>
    <x v="1"/>
    <x v="3"/>
    <x v="3"/>
  </r>
  <r>
    <s v="ORD-1480"/>
    <d v="2024-12-26T00:00:00"/>
    <x v="6"/>
    <x v="1"/>
    <n v="10"/>
    <n v="703"/>
    <n v="7030"/>
    <x v="1"/>
    <x v="7"/>
    <x v="7"/>
  </r>
  <r>
    <s v="ORD-1481"/>
    <d v="2024-08-12T00:00:00"/>
    <x v="1"/>
    <x v="1"/>
    <n v="1"/>
    <n v="426"/>
    <n v="426"/>
    <x v="0"/>
    <x v="6"/>
    <x v="6"/>
  </r>
  <r>
    <s v="ORD-1482"/>
    <d v="2024-09-14T00:00:00"/>
    <x v="1"/>
    <x v="1"/>
    <n v="1"/>
    <n v="158"/>
    <n v="158"/>
    <x v="2"/>
    <x v="11"/>
    <x v="11"/>
  </r>
  <r>
    <s v="ORD-1483"/>
    <d v="2024-10-22T00:00:00"/>
    <x v="1"/>
    <x v="1"/>
    <n v="10"/>
    <n v="341"/>
    <n v="3410"/>
    <x v="2"/>
    <x v="3"/>
    <x v="3"/>
  </r>
  <r>
    <s v="ORD-1484"/>
    <d v="2024-12-04T00:00:00"/>
    <x v="1"/>
    <x v="1"/>
    <n v="5"/>
    <n v="161"/>
    <n v="805"/>
    <x v="0"/>
    <x v="7"/>
    <x v="7"/>
  </r>
  <r>
    <s v="ORD-1485"/>
    <d v="2024-02-01T00:00:00"/>
    <x v="2"/>
    <x v="0"/>
    <n v="5"/>
    <n v="296"/>
    <n v="1480"/>
    <x v="0"/>
    <x v="1"/>
    <x v="1"/>
  </r>
  <r>
    <s v="ORD-1486"/>
    <d v="2024-01-25T00:00:00"/>
    <x v="2"/>
    <x v="0"/>
    <n v="9"/>
    <n v="522"/>
    <n v="4698"/>
    <x v="2"/>
    <x v="2"/>
    <x v="2"/>
  </r>
  <r>
    <s v="ORD-1487"/>
    <d v="2024-12-22T00:00:00"/>
    <x v="2"/>
    <x v="0"/>
    <n v="9"/>
    <n v="341"/>
    <n v="3069"/>
    <x v="3"/>
    <x v="7"/>
    <x v="7"/>
  </r>
  <r>
    <s v="ORD-1488"/>
    <d v="2024-07-11T00:00:00"/>
    <x v="2"/>
    <x v="0"/>
    <n v="3"/>
    <n v="322"/>
    <n v="966"/>
    <x v="0"/>
    <x v="5"/>
    <x v="5"/>
  </r>
  <r>
    <s v="ORD-1489"/>
    <d v="2024-04-25T00:00:00"/>
    <x v="6"/>
    <x v="1"/>
    <n v="4"/>
    <n v="884"/>
    <n v="3536"/>
    <x v="2"/>
    <x v="9"/>
    <x v="9"/>
  </r>
  <r>
    <s v="ORD-1490"/>
    <d v="2024-10-14T00:00:00"/>
    <x v="4"/>
    <x v="0"/>
    <n v="8"/>
    <n v="74"/>
    <n v="592"/>
    <x v="3"/>
    <x v="3"/>
    <x v="3"/>
  </r>
  <r>
    <s v="ORD-1491"/>
    <d v="2024-03-09T00:00:00"/>
    <x v="2"/>
    <x v="0"/>
    <n v="9"/>
    <n v="557"/>
    <n v="5013"/>
    <x v="3"/>
    <x v="10"/>
    <x v="10"/>
  </r>
  <r>
    <s v="ORD-1492"/>
    <d v="2024-06-18T00:00:00"/>
    <x v="1"/>
    <x v="1"/>
    <n v="5"/>
    <n v="223"/>
    <n v="1115"/>
    <x v="1"/>
    <x v="4"/>
    <x v="4"/>
  </r>
  <r>
    <s v="ORD-1493"/>
    <d v="2024-10-01T00:00:00"/>
    <x v="6"/>
    <x v="1"/>
    <n v="6"/>
    <n v="109"/>
    <n v="654"/>
    <x v="0"/>
    <x v="3"/>
    <x v="3"/>
  </r>
  <r>
    <s v="ORD-1494"/>
    <d v="2024-12-10T00:00:00"/>
    <x v="7"/>
    <x v="1"/>
    <n v="5"/>
    <n v="401"/>
    <n v="2005"/>
    <x v="1"/>
    <x v="7"/>
    <x v="7"/>
  </r>
  <r>
    <s v="ORD-1495"/>
    <d v="2024-10-27T00:00:00"/>
    <x v="0"/>
    <x v="0"/>
    <n v="4"/>
    <n v="838"/>
    <n v="3352"/>
    <x v="0"/>
    <x v="3"/>
    <x v="3"/>
  </r>
  <r>
    <s v="ORD-1496"/>
    <d v="2024-06-04T00:00:00"/>
    <x v="6"/>
    <x v="1"/>
    <n v="4"/>
    <n v="355"/>
    <n v="1420"/>
    <x v="1"/>
    <x v="4"/>
    <x v="4"/>
  </r>
  <r>
    <s v="ORD-1497"/>
    <d v="2024-03-01T00:00:00"/>
    <x v="1"/>
    <x v="1"/>
    <n v="4"/>
    <n v="774"/>
    <n v="3096"/>
    <x v="3"/>
    <x v="10"/>
    <x v="10"/>
  </r>
  <r>
    <s v="ORD-1498"/>
    <d v="2024-04-14T00:00:00"/>
    <x v="1"/>
    <x v="1"/>
    <n v="10"/>
    <n v="735"/>
    <n v="7350"/>
    <x v="3"/>
    <x v="9"/>
    <x v="9"/>
  </r>
  <r>
    <s v="ORD-1499"/>
    <d v="2024-05-24T00:00:00"/>
    <x v="1"/>
    <x v="1"/>
    <n v="9"/>
    <n v="344"/>
    <n v="3096"/>
    <x v="3"/>
    <x v="0"/>
    <x v="0"/>
  </r>
  <r>
    <s v="ORD-1500"/>
    <d v="2024-07-02T00:00:00"/>
    <x v="6"/>
    <x v="1"/>
    <n v="9"/>
    <n v="679"/>
    <n v="6111"/>
    <x v="2"/>
    <x v="5"/>
    <x v="5"/>
  </r>
  <r>
    <s v="ORD-1501"/>
    <d v="2024-09-11T00:00:00"/>
    <x v="3"/>
    <x v="0"/>
    <n v="6"/>
    <n v="540"/>
    <n v="3240"/>
    <x v="3"/>
    <x v="11"/>
    <x v="11"/>
  </r>
  <r>
    <s v="ORD-1502"/>
    <d v="2024-06-12T00:00:00"/>
    <x v="0"/>
    <x v="0"/>
    <n v="8"/>
    <n v="794"/>
    <n v="6352"/>
    <x v="0"/>
    <x v="4"/>
    <x v="4"/>
  </r>
  <r>
    <s v="ORD-1503"/>
    <d v="2024-01-24T00:00:00"/>
    <x v="5"/>
    <x v="1"/>
    <n v="6"/>
    <n v="438"/>
    <n v="2628"/>
    <x v="0"/>
    <x v="2"/>
    <x v="2"/>
  </r>
  <r>
    <s v="ORD-1504"/>
    <d v="2024-10-10T00:00:00"/>
    <x v="4"/>
    <x v="0"/>
    <n v="1"/>
    <n v="282"/>
    <n v="282"/>
    <x v="3"/>
    <x v="3"/>
    <x v="3"/>
  </r>
  <r>
    <s v="ORD-1505"/>
    <d v="2024-06-17T00:00:00"/>
    <x v="3"/>
    <x v="0"/>
    <n v="3"/>
    <n v="215"/>
    <n v="645"/>
    <x v="0"/>
    <x v="4"/>
    <x v="4"/>
  </r>
  <r>
    <s v="ORD-1506"/>
    <d v="2024-05-05T00:00:00"/>
    <x v="2"/>
    <x v="0"/>
    <n v="10"/>
    <n v="868"/>
    <n v="8680"/>
    <x v="3"/>
    <x v="0"/>
    <x v="0"/>
  </r>
  <r>
    <s v="ORD-1507"/>
    <d v="2024-09-07T00:00:00"/>
    <x v="5"/>
    <x v="1"/>
    <n v="5"/>
    <n v="796"/>
    <n v="3980"/>
    <x v="3"/>
    <x v="11"/>
    <x v="11"/>
  </r>
  <r>
    <s v="ORD-1508"/>
    <d v="2024-06-29T00:00:00"/>
    <x v="6"/>
    <x v="1"/>
    <n v="3"/>
    <n v="765"/>
    <n v="2295"/>
    <x v="0"/>
    <x v="4"/>
    <x v="4"/>
  </r>
  <r>
    <s v="ORD-1509"/>
    <d v="2024-04-04T00:00:00"/>
    <x v="4"/>
    <x v="0"/>
    <n v="9"/>
    <n v="515"/>
    <n v="4635"/>
    <x v="1"/>
    <x v="9"/>
    <x v="9"/>
  </r>
  <r>
    <s v="ORD-1510"/>
    <d v="2024-12-08T00:00:00"/>
    <x v="7"/>
    <x v="1"/>
    <n v="2"/>
    <n v="852"/>
    <n v="1704"/>
    <x v="1"/>
    <x v="7"/>
    <x v="7"/>
  </r>
  <r>
    <s v="ORD-1511"/>
    <d v="2024-11-18T00:00:00"/>
    <x v="7"/>
    <x v="1"/>
    <n v="7"/>
    <n v="155"/>
    <n v="1085"/>
    <x v="0"/>
    <x v="8"/>
    <x v="8"/>
  </r>
  <r>
    <s v="ORD-1512"/>
    <d v="2024-04-21T00:00:00"/>
    <x v="0"/>
    <x v="0"/>
    <n v="3"/>
    <n v="24"/>
    <n v="72"/>
    <x v="3"/>
    <x v="9"/>
    <x v="9"/>
  </r>
  <r>
    <s v="ORD-1513"/>
    <d v="2024-11-22T00:00:00"/>
    <x v="5"/>
    <x v="1"/>
    <n v="1"/>
    <n v="647"/>
    <n v="647"/>
    <x v="3"/>
    <x v="8"/>
    <x v="8"/>
  </r>
  <r>
    <s v="ORD-1514"/>
    <d v="2024-09-29T00:00:00"/>
    <x v="6"/>
    <x v="1"/>
    <n v="1"/>
    <n v="21"/>
    <n v="21"/>
    <x v="3"/>
    <x v="11"/>
    <x v="11"/>
  </r>
  <r>
    <s v="ORD-1515"/>
    <d v="2024-05-20T00:00:00"/>
    <x v="7"/>
    <x v="1"/>
    <n v="1"/>
    <n v="557"/>
    <n v="557"/>
    <x v="2"/>
    <x v="0"/>
    <x v="0"/>
  </r>
  <r>
    <s v="ORD-1516"/>
    <d v="2024-12-23T00:00:00"/>
    <x v="7"/>
    <x v="1"/>
    <n v="9"/>
    <n v="847"/>
    <n v="7623"/>
    <x v="3"/>
    <x v="7"/>
    <x v="7"/>
  </r>
  <r>
    <s v="ORD-1517"/>
    <d v="2024-09-25T00:00:00"/>
    <x v="4"/>
    <x v="0"/>
    <n v="2"/>
    <n v="113"/>
    <n v="226"/>
    <x v="0"/>
    <x v="11"/>
    <x v="11"/>
  </r>
  <r>
    <s v="ORD-1518"/>
    <d v="2024-09-26T00:00:00"/>
    <x v="1"/>
    <x v="1"/>
    <n v="4"/>
    <n v="649"/>
    <n v="2596"/>
    <x v="2"/>
    <x v="11"/>
    <x v="11"/>
  </r>
  <r>
    <s v="ORD-1519"/>
    <d v="2024-07-22T00:00:00"/>
    <x v="5"/>
    <x v="1"/>
    <n v="5"/>
    <n v="829"/>
    <n v="4145"/>
    <x v="1"/>
    <x v="5"/>
    <x v="5"/>
  </r>
  <r>
    <s v="ORD-1520"/>
    <d v="2024-10-16T00:00:00"/>
    <x v="5"/>
    <x v="1"/>
    <n v="7"/>
    <n v="485"/>
    <n v="3395"/>
    <x v="0"/>
    <x v="3"/>
    <x v="3"/>
  </r>
  <r>
    <s v="ORD-1521"/>
    <d v="2024-02-11T00:00:00"/>
    <x v="1"/>
    <x v="1"/>
    <n v="5"/>
    <n v="715"/>
    <n v="3575"/>
    <x v="1"/>
    <x v="1"/>
    <x v="1"/>
  </r>
  <r>
    <s v="ORD-1522"/>
    <d v="2024-07-12T00:00:00"/>
    <x v="0"/>
    <x v="0"/>
    <n v="7"/>
    <n v="403"/>
    <n v="2821"/>
    <x v="3"/>
    <x v="5"/>
    <x v="5"/>
  </r>
  <r>
    <s v="ORD-1523"/>
    <d v="2024-03-28T00:00:00"/>
    <x v="7"/>
    <x v="1"/>
    <n v="1"/>
    <n v="734"/>
    <n v="734"/>
    <x v="1"/>
    <x v="10"/>
    <x v="10"/>
  </r>
  <r>
    <s v="ORD-1524"/>
    <d v="2024-06-18T00:00:00"/>
    <x v="6"/>
    <x v="1"/>
    <n v="7"/>
    <n v="675"/>
    <n v="4725"/>
    <x v="1"/>
    <x v="4"/>
    <x v="4"/>
  </r>
  <r>
    <s v="ORD-1526"/>
    <d v="2024-12-16T00:00:00"/>
    <x v="3"/>
    <x v="0"/>
    <n v="1"/>
    <n v="91"/>
    <n v="91"/>
    <x v="2"/>
    <x v="7"/>
    <x v="7"/>
  </r>
  <r>
    <s v="ORD-1527"/>
    <d v="2024-06-10T00:00:00"/>
    <x v="7"/>
    <x v="1"/>
    <n v="3"/>
    <n v="885"/>
    <n v="2655"/>
    <x v="1"/>
    <x v="4"/>
    <x v="4"/>
  </r>
  <r>
    <s v="ORD-1528"/>
    <d v="2024-12-30T00:00:00"/>
    <x v="1"/>
    <x v="1"/>
    <n v="10"/>
    <n v="162"/>
    <n v="1620"/>
    <x v="3"/>
    <x v="7"/>
    <x v="7"/>
  </r>
  <r>
    <s v="ORD-1529"/>
    <d v="2024-10-15T00:00:00"/>
    <x v="0"/>
    <x v="0"/>
    <n v="5"/>
    <n v="181"/>
    <n v="905"/>
    <x v="0"/>
    <x v="3"/>
    <x v="3"/>
  </r>
  <r>
    <s v="ORD-1530"/>
    <d v="2024-07-15T00:00:00"/>
    <x v="2"/>
    <x v="0"/>
    <n v="9"/>
    <n v="354"/>
    <n v="3186"/>
    <x v="0"/>
    <x v="5"/>
    <x v="5"/>
  </r>
  <r>
    <s v="ORD-1531"/>
    <d v="2024-06-26T00:00:00"/>
    <x v="0"/>
    <x v="0"/>
    <n v="9"/>
    <n v="778"/>
    <n v="7002"/>
    <x v="1"/>
    <x v="4"/>
    <x v="4"/>
  </r>
  <r>
    <s v="ORD-1532"/>
    <d v="2024-02-08T00:00:00"/>
    <x v="0"/>
    <x v="0"/>
    <n v="7"/>
    <n v="252"/>
    <n v="1764"/>
    <x v="2"/>
    <x v="1"/>
    <x v="1"/>
  </r>
  <r>
    <s v="ORD-1533"/>
    <d v="2024-11-20T00:00:00"/>
    <x v="2"/>
    <x v="0"/>
    <n v="6"/>
    <n v="45"/>
    <n v="270"/>
    <x v="2"/>
    <x v="8"/>
    <x v="8"/>
  </r>
  <r>
    <s v="ORD-1534"/>
    <d v="2024-07-01T00:00:00"/>
    <x v="6"/>
    <x v="1"/>
    <n v="8"/>
    <n v="248"/>
    <n v="1984"/>
    <x v="3"/>
    <x v="5"/>
    <x v="5"/>
  </r>
  <r>
    <s v="ORD-1535"/>
    <d v="2024-10-26T00:00:00"/>
    <x v="2"/>
    <x v="0"/>
    <n v="3"/>
    <n v="711"/>
    <n v="2133"/>
    <x v="3"/>
    <x v="3"/>
    <x v="3"/>
  </r>
  <r>
    <s v="ORD-1536"/>
    <d v="2024-05-06T00:00:00"/>
    <x v="0"/>
    <x v="0"/>
    <n v="10"/>
    <n v="317"/>
    <n v="3170"/>
    <x v="1"/>
    <x v="0"/>
    <x v="0"/>
  </r>
  <r>
    <s v="ORD-1537"/>
    <d v="2024-07-13T00:00:00"/>
    <x v="0"/>
    <x v="0"/>
    <n v="5"/>
    <n v="172"/>
    <n v="860"/>
    <x v="0"/>
    <x v="5"/>
    <x v="5"/>
  </r>
  <r>
    <s v="ORD-1538"/>
    <d v="2024-02-24T00:00:00"/>
    <x v="2"/>
    <x v="0"/>
    <n v="6"/>
    <n v="384"/>
    <n v="2304"/>
    <x v="1"/>
    <x v="1"/>
    <x v="1"/>
  </r>
  <r>
    <s v="ORD-1539"/>
    <d v="2024-07-03T00:00:00"/>
    <x v="7"/>
    <x v="1"/>
    <n v="5"/>
    <n v="470"/>
    <n v="2350"/>
    <x v="2"/>
    <x v="5"/>
    <x v="5"/>
  </r>
  <r>
    <s v="ORD-1540"/>
    <d v="2024-04-05T00:00:00"/>
    <x v="0"/>
    <x v="0"/>
    <n v="3"/>
    <n v="104"/>
    <n v="312"/>
    <x v="3"/>
    <x v="9"/>
    <x v="9"/>
  </r>
  <r>
    <s v="ORD-1541"/>
    <d v="2024-09-19T00:00:00"/>
    <x v="6"/>
    <x v="1"/>
    <n v="9"/>
    <n v="583"/>
    <n v="5247"/>
    <x v="3"/>
    <x v="11"/>
    <x v="11"/>
  </r>
  <r>
    <s v="ORD-1542"/>
    <d v="2024-06-30T00:00:00"/>
    <x v="0"/>
    <x v="0"/>
    <n v="1"/>
    <n v="106"/>
    <n v="106"/>
    <x v="1"/>
    <x v="4"/>
    <x v="4"/>
  </r>
  <r>
    <s v="ORD-1543"/>
    <d v="2024-05-29T00:00:00"/>
    <x v="5"/>
    <x v="1"/>
    <n v="7"/>
    <n v="27"/>
    <n v="189"/>
    <x v="3"/>
    <x v="0"/>
    <x v="0"/>
  </r>
  <r>
    <s v="ORD-1544"/>
    <d v="2024-10-13T00:00:00"/>
    <x v="2"/>
    <x v="0"/>
    <n v="2"/>
    <n v="757"/>
    <n v="1514"/>
    <x v="0"/>
    <x v="3"/>
    <x v="3"/>
  </r>
  <r>
    <s v="ORD-1545"/>
    <d v="2024-03-12T00:00:00"/>
    <x v="4"/>
    <x v="0"/>
    <n v="7"/>
    <n v="188"/>
    <n v="1316"/>
    <x v="2"/>
    <x v="10"/>
    <x v="10"/>
  </r>
  <r>
    <s v="ORD-1546"/>
    <d v="2024-03-15T00:00:00"/>
    <x v="3"/>
    <x v="0"/>
    <n v="5"/>
    <n v="519"/>
    <n v="2595"/>
    <x v="1"/>
    <x v="10"/>
    <x v="10"/>
  </r>
  <r>
    <s v="ORD-1547"/>
    <d v="2024-08-03T00:00:00"/>
    <x v="4"/>
    <x v="0"/>
    <n v="7"/>
    <n v="297"/>
    <n v="2079"/>
    <x v="2"/>
    <x v="6"/>
    <x v="6"/>
  </r>
  <r>
    <s v="ORD-1548"/>
    <d v="2024-05-08T00:00:00"/>
    <x v="6"/>
    <x v="1"/>
    <n v="2"/>
    <n v="384"/>
    <n v="768"/>
    <x v="0"/>
    <x v="0"/>
    <x v="0"/>
  </r>
  <r>
    <s v="ORD-1549"/>
    <d v="2024-04-10T00:00:00"/>
    <x v="6"/>
    <x v="1"/>
    <n v="10"/>
    <n v="646"/>
    <n v="6460"/>
    <x v="3"/>
    <x v="9"/>
    <x v="9"/>
  </r>
  <r>
    <s v="ORD-1550"/>
    <d v="2024-01-04T00:00:00"/>
    <x v="0"/>
    <x v="0"/>
    <n v="3"/>
    <n v="326"/>
    <n v="978"/>
    <x v="3"/>
    <x v="2"/>
    <x v="2"/>
  </r>
  <r>
    <s v="ORD-1552"/>
    <d v="2024-11-29T00:00:00"/>
    <x v="5"/>
    <x v="1"/>
    <n v="7"/>
    <n v="850"/>
    <n v="5950"/>
    <x v="0"/>
    <x v="8"/>
    <x v="8"/>
  </r>
  <r>
    <s v="ORD-1553"/>
    <d v="2024-12-21T00:00:00"/>
    <x v="3"/>
    <x v="0"/>
    <n v="6"/>
    <n v="632"/>
    <n v="3792"/>
    <x v="0"/>
    <x v="7"/>
    <x v="7"/>
  </r>
  <r>
    <s v="ORD-1554"/>
    <d v="2024-07-22T00:00:00"/>
    <x v="6"/>
    <x v="1"/>
    <n v="6"/>
    <n v="196"/>
    <n v="1176"/>
    <x v="2"/>
    <x v="5"/>
    <x v="5"/>
  </r>
  <r>
    <s v="ORD-1555"/>
    <d v="2024-05-04T00:00:00"/>
    <x v="3"/>
    <x v="0"/>
    <n v="8"/>
    <n v="604"/>
    <n v="4832"/>
    <x v="2"/>
    <x v="0"/>
    <x v="0"/>
  </r>
  <r>
    <s v="ORD-1556"/>
    <d v="2024-07-20T00:00:00"/>
    <x v="2"/>
    <x v="0"/>
    <n v="5"/>
    <n v="851"/>
    <n v="4255"/>
    <x v="2"/>
    <x v="5"/>
    <x v="5"/>
  </r>
  <r>
    <s v="ORD-1557"/>
    <d v="2024-10-30T00:00:00"/>
    <x v="0"/>
    <x v="0"/>
    <n v="10"/>
    <n v="219"/>
    <n v="2190"/>
    <x v="0"/>
    <x v="3"/>
    <x v="3"/>
  </r>
  <r>
    <s v="ORD-1558"/>
    <d v="2024-04-17T00:00:00"/>
    <x v="7"/>
    <x v="1"/>
    <n v="8"/>
    <n v="740"/>
    <n v="5920"/>
    <x v="3"/>
    <x v="9"/>
    <x v="9"/>
  </r>
  <r>
    <s v="ORD-1559"/>
    <d v="2024-07-28T00:00:00"/>
    <x v="3"/>
    <x v="0"/>
    <n v="2"/>
    <n v="853"/>
    <n v="1706"/>
    <x v="3"/>
    <x v="5"/>
    <x v="5"/>
  </r>
  <r>
    <s v="ORD-1560"/>
    <d v="2024-05-09T00:00:00"/>
    <x v="4"/>
    <x v="0"/>
    <n v="5"/>
    <n v="262"/>
    <n v="1310"/>
    <x v="0"/>
    <x v="0"/>
    <x v="0"/>
  </r>
  <r>
    <s v="ORD-1562"/>
    <d v="2024-12-20T00:00:00"/>
    <x v="2"/>
    <x v="0"/>
    <n v="9"/>
    <n v="533"/>
    <n v="4797"/>
    <x v="3"/>
    <x v="7"/>
    <x v="7"/>
  </r>
  <r>
    <s v="ORD-1564"/>
    <d v="2024-12-06T00:00:00"/>
    <x v="0"/>
    <x v="0"/>
    <n v="4"/>
    <n v="688"/>
    <n v="2752"/>
    <x v="2"/>
    <x v="7"/>
    <x v="7"/>
  </r>
  <r>
    <s v="ORD-1565"/>
    <d v="2024-10-15T00:00:00"/>
    <x v="4"/>
    <x v="0"/>
    <n v="10"/>
    <n v="60"/>
    <n v="600"/>
    <x v="3"/>
    <x v="3"/>
    <x v="3"/>
  </r>
  <r>
    <s v="ORD-1566"/>
    <d v="2024-01-06T00:00:00"/>
    <x v="5"/>
    <x v="1"/>
    <n v="7"/>
    <n v="123"/>
    <n v="861"/>
    <x v="1"/>
    <x v="2"/>
    <x v="2"/>
  </r>
  <r>
    <s v="ORD-1568"/>
    <d v="2024-08-25T00:00:00"/>
    <x v="6"/>
    <x v="1"/>
    <n v="6"/>
    <n v="415"/>
    <n v="2490"/>
    <x v="0"/>
    <x v="6"/>
    <x v="6"/>
  </r>
  <r>
    <s v="ORD-1570"/>
    <d v="2024-03-13T00:00:00"/>
    <x v="2"/>
    <x v="0"/>
    <n v="2"/>
    <n v="133"/>
    <n v="266"/>
    <x v="2"/>
    <x v="10"/>
    <x v="10"/>
  </r>
  <r>
    <s v="ORD-1571"/>
    <d v="2024-04-15T00:00:00"/>
    <x v="3"/>
    <x v="0"/>
    <n v="6"/>
    <n v="481"/>
    <n v="2886"/>
    <x v="3"/>
    <x v="9"/>
    <x v="9"/>
  </r>
  <r>
    <s v="ORD-1572"/>
    <d v="2024-08-12T00:00:00"/>
    <x v="5"/>
    <x v="1"/>
    <n v="8"/>
    <n v="114"/>
    <n v="912"/>
    <x v="3"/>
    <x v="6"/>
    <x v="6"/>
  </r>
  <r>
    <s v="ORD-1573"/>
    <d v="2024-01-23T00:00:00"/>
    <x v="5"/>
    <x v="1"/>
    <n v="2"/>
    <n v="322"/>
    <n v="644"/>
    <x v="1"/>
    <x v="2"/>
    <x v="2"/>
  </r>
  <r>
    <s v="ORD-1574"/>
    <d v="2024-02-25T00:00:00"/>
    <x v="7"/>
    <x v="1"/>
    <n v="6"/>
    <n v="678"/>
    <n v="4068"/>
    <x v="0"/>
    <x v="1"/>
    <x v="1"/>
  </r>
  <r>
    <s v="ORD-1575"/>
    <d v="2024-10-09T00:00:00"/>
    <x v="1"/>
    <x v="1"/>
    <n v="9"/>
    <n v="193"/>
    <n v="1737"/>
    <x v="0"/>
    <x v="3"/>
    <x v="3"/>
  </r>
  <r>
    <s v="ORD-1576"/>
    <d v="2024-08-24T00:00:00"/>
    <x v="5"/>
    <x v="1"/>
    <n v="9"/>
    <n v="451"/>
    <n v="4059"/>
    <x v="0"/>
    <x v="6"/>
    <x v="6"/>
  </r>
  <r>
    <s v="ORD-1577"/>
    <d v="2024-11-23T00:00:00"/>
    <x v="2"/>
    <x v="0"/>
    <n v="3"/>
    <n v="205"/>
    <n v="615"/>
    <x v="3"/>
    <x v="8"/>
    <x v="8"/>
  </r>
  <r>
    <s v="ORD-1578"/>
    <d v="2024-11-10T00:00:00"/>
    <x v="2"/>
    <x v="0"/>
    <n v="1"/>
    <n v="770"/>
    <n v="770"/>
    <x v="0"/>
    <x v="8"/>
    <x v="8"/>
  </r>
  <r>
    <s v="ORD-1579"/>
    <d v="2024-07-18T00:00:00"/>
    <x v="6"/>
    <x v="1"/>
    <n v="10"/>
    <n v="454"/>
    <n v="4540"/>
    <x v="1"/>
    <x v="5"/>
    <x v="5"/>
  </r>
  <r>
    <s v="ORD-1580"/>
    <d v="2024-12-26T00:00:00"/>
    <x v="1"/>
    <x v="1"/>
    <n v="4"/>
    <n v="300"/>
    <n v="1200"/>
    <x v="1"/>
    <x v="7"/>
    <x v="7"/>
  </r>
  <r>
    <s v="ORD-1582"/>
    <d v="2024-05-14T00:00:00"/>
    <x v="1"/>
    <x v="1"/>
    <n v="8"/>
    <n v="131"/>
    <n v="1048"/>
    <x v="3"/>
    <x v="0"/>
    <x v="0"/>
  </r>
  <r>
    <s v="ORD-1583"/>
    <d v="2024-11-08T00:00:00"/>
    <x v="5"/>
    <x v="1"/>
    <n v="10"/>
    <n v="412"/>
    <n v="4120"/>
    <x v="3"/>
    <x v="8"/>
    <x v="8"/>
  </r>
  <r>
    <s v="ORD-1584"/>
    <d v="2024-08-22T00:00:00"/>
    <x v="0"/>
    <x v="0"/>
    <n v="6"/>
    <n v="375"/>
    <n v="2250"/>
    <x v="0"/>
    <x v="6"/>
    <x v="6"/>
  </r>
  <r>
    <s v="ORD-1585"/>
    <d v="2024-02-13T00:00:00"/>
    <x v="3"/>
    <x v="0"/>
    <n v="10"/>
    <n v="619"/>
    <n v="6190"/>
    <x v="0"/>
    <x v="1"/>
    <x v="1"/>
  </r>
  <r>
    <s v="ORD-1586"/>
    <d v="2024-06-05T00:00:00"/>
    <x v="5"/>
    <x v="1"/>
    <n v="2"/>
    <n v="259"/>
    <n v="518"/>
    <x v="1"/>
    <x v="4"/>
    <x v="4"/>
  </r>
  <r>
    <s v="ORD-1588"/>
    <d v="2024-10-21T00:00:00"/>
    <x v="2"/>
    <x v="0"/>
    <n v="10"/>
    <n v="156"/>
    <n v="1560"/>
    <x v="3"/>
    <x v="3"/>
    <x v="3"/>
  </r>
  <r>
    <s v="ORD-1589"/>
    <d v="2024-11-21T00:00:00"/>
    <x v="2"/>
    <x v="0"/>
    <n v="3"/>
    <n v="513"/>
    <n v="1539"/>
    <x v="0"/>
    <x v="8"/>
    <x v="8"/>
  </r>
  <r>
    <s v="ORD-1590"/>
    <d v="2024-03-12T00:00:00"/>
    <x v="4"/>
    <x v="0"/>
    <n v="8"/>
    <n v="310"/>
    <n v="2480"/>
    <x v="0"/>
    <x v="10"/>
    <x v="10"/>
  </r>
  <r>
    <s v="ORD-1591"/>
    <d v="2024-01-28T00:00:00"/>
    <x v="5"/>
    <x v="1"/>
    <n v="8"/>
    <n v="649"/>
    <n v="5192"/>
    <x v="2"/>
    <x v="2"/>
    <x v="2"/>
  </r>
  <r>
    <s v="ORD-1592"/>
    <d v="2024-04-09T00:00:00"/>
    <x v="7"/>
    <x v="1"/>
    <n v="8"/>
    <n v="154"/>
    <n v="1232"/>
    <x v="3"/>
    <x v="9"/>
    <x v="9"/>
  </r>
  <r>
    <s v="ORD-1593"/>
    <d v="2024-09-08T00:00:00"/>
    <x v="6"/>
    <x v="1"/>
    <n v="7"/>
    <n v="716"/>
    <n v="5012"/>
    <x v="3"/>
    <x v="11"/>
    <x v="11"/>
  </r>
  <r>
    <s v="ORD-1594"/>
    <d v="2024-02-12T00:00:00"/>
    <x v="6"/>
    <x v="1"/>
    <n v="8"/>
    <n v="186"/>
    <n v="1488"/>
    <x v="1"/>
    <x v="1"/>
    <x v="1"/>
  </r>
  <r>
    <s v="ORD-1595"/>
    <d v="2024-05-20T00:00:00"/>
    <x v="1"/>
    <x v="1"/>
    <n v="5"/>
    <n v="48"/>
    <n v="240"/>
    <x v="0"/>
    <x v="0"/>
    <x v="0"/>
  </r>
  <r>
    <s v="ORD-1596"/>
    <d v="2024-08-22T00:00:00"/>
    <x v="3"/>
    <x v="0"/>
    <n v="3"/>
    <n v="814"/>
    <n v="2442"/>
    <x v="3"/>
    <x v="6"/>
    <x v="6"/>
  </r>
  <r>
    <s v="ORD-1597"/>
    <d v="2024-05-17T00:00:00"/>
    <x v="0"/>
    <x v="0"/>
    <n v="10"/>
    <n v="131"/>
    <n v="1310"/>
    <x v="2"/>
    <x v="0"/>
    <x v="0"/>
  </r>
  <r>
    <s v="ORD-1598"/>
    <d v="2024-04-21T00:00:00"/>
    <x v="7"/>
    <x v="1"/>
    <n v="8"/>
    <n v="574"/>
    <n v="4592"/>
    <x v="3"/>
    <x v="9"/>
    <x v="9"/>
  </r>
  <r>
    <s v="ORD-1599"/>
    <d v="2024-01-17T00:00:00"/>
    <x v="0"/>
    <x v="0"/>
    <n v="4"/>
    <n v="319"/>
    <n v="1276"/>
    <x v="3"/>
    <x v="2"/>
    <x v="2"/>
  </r>
  <r>
    <s v="ORD-1600"/>
    <d v="2024-02-14T00:00:00"/>
    <x v="3"/>
    <x v="0"/>
    <n v="6"/>
    <n v="897"/>
    <n v="5382"/>
    <x v="3"/>
    <x v="1"/>
    <x v="1"/>
  </r>
  <r>
    <s v="ORD-1601"/>
    <d v="2024-10-28T00:00:00"/>
    <x v="0"/>
    <x v="0"/>
    <n v="4"/>
    <n v="229"/>
    <n v="916"/>
    <x v="2"/>
    <x v="3"/>
    <x v="3"/>
  </r>
  <r>
    <s v="ORD-1602"/>
    <d v="2024-03-12T00:00:00"/>
    <x v="2"/>
    <x v="0"/>
    <n v="3"/>
    <n v="645"/>
    <n v="1935"/>
    <x v="0"/>
    <x v="10"/>
    <x v="10"/>
  </r>
  <r>
    <s v="ORD-1603"/>
    <d v="2024-06-28T00:00:00"/>
    <x v="1"/>
    <x v="1"/>
    <n v="1"/>
    <n v="598"/>
    <n v="598"/>
    <x v="2"/>
    <x v="4"/>
    <x v="4"/>
  </r>
  <r>
    <s v="ORD-1604"/>
    <d v="2024-05-29T00:00:00"/>
    <x v="4"/>
    <x v="0"/>
    <n v="6"/>
    <n v="735"/>
    <n v="4410"/>
    <x v="2"/>
    <x v="0"/>
    <x v="0"/>
  </r>
  <r>
    <s v="ORD-1605"/>
    <d v="2024-02-18T00:00:00"/>
    <x v="3"/>
    <x v="0"/>
    <n v="9"/>
    <n v="710"/>
    <n v="6390"/>
    <x v="0"/>
    <x v="1"/>
    <x v="1"/>
  </r>
  <r>
    <s v="ORD-1606"/>
    <d v="2024-12-01T00:00:00"/>
    <x v="2"/>
    <x v="0"/>
    <n v="1"/>
    <n v="298"/>
    <n v="298"/>
    <x v="0"/>
    <x v="7"/>
    <x v="7"/>
  </r>
  <r>
    <s v="ORD-1607"/>
    <d v="2024-12-30T00:00:00"/>
    <x v="4"/>
    <x v="0"/>
    <n v="4"/>
    <n v="164"/>
    <n v="656"/>
    <x v="2"/>
    <x v="7"/>
    <x v="7"/>
  </r>
  <r>
    <s v="ORD-1608"/>
    <d v="2024-03-13T00:00:00"/>
    <x v="1"/>
    <x v="1"/>
    <n v="7"/>
    <n v="516"/>
    <n v="3612"/>
    <x v="2"/>
    <x v="10"/>
    <x v="10"/>
  </r>
  <r>
    <s v="ORD-1609"/>
    <d v="2024-02-08T00:00:00"/>
    <x v="2"/>
    <x v="0"/>
    <n v="7"/>
    <n v="477"/>
    <n v="3339"/>
    <x v="1"/>
    <x v="1"/>
    <x v="1"/>
  </r>
  <r>
    <s v="ORD-1610"/>
    <d v="2024-05-22T00:00:00"/>
    <x v="2"/>
    <x v="0"/>
    <n v="9"/>
    <n v="782"/>
    <n v="7038"/>
    <x v="2"/>
    <x v="0"/>
    <x v="0"/>
  </r>
  <r>
    <s v="ORD-1612"/>
    <d v="2024-12-06T00:00:00"/>
    <x v="0"/>
    <x v="0"/>
    <n v="8"/>
    <n v="665"/>
    <n v="5320"/>
    <x v="2"/>
    <x v="7"/>
    <x v="7"/>
  </r>
  <r>
    <s v="ORD-1613"/>
    <d v="2024-04-21T00:00:00"/>
    <x v="0"/>
    <x v="0"/>
    <n v="9"/>
    <n v="422"/>
    <n v="3798"/>
    <x v="3"/>
    <x v="9"/>
    <x v="9"/>
  </r>
  <r>
    <s v="ORD-1614"/>
    <d v="2024-06-14T00:00:00"/>
    <x v="1"/>
    <x v="1"/>
    <n v="8"/>
    <n v="289"/>
    <n v="2312"/>
    <x v="2"/>
    <x v="4"/>
    <x v="4"/>
  </r>
  <r>
    <s v="ORD-1615"/>
    <d v="2024-03-07T00:00:00"/>
    <x v="5"/>
    <x v="1"/>
    <n v="9"/>
    <n v="606"/>
    <n v="5454"/>
    <x v="3"/>
    <x v="10"/>
    <x v="10"/>
  </r>
  <r>
    <s v="ORD-1616"/>
    <d v="2024-02-20T00:00:00"/>
    <x v="5"/>
    <x v="1"/>
    <n v="1"/>
    <n v="62"/>
    <n v="62"/>
    <x v="3"/>
    <x v="1"/>
    <x v="1"/>
  </r>
  <r>
    <s v="ORD-1617"/>
    <d v="2024-03-21T00:00:00"/>
    <x v="7"/>
    <x v="1"/>
    <n v="2"/>
    <n v="893"/>
    <n v="1786"/>
    <x v="3"/>
    <x v="10"/>
    <x v="10"/>
  </r>
  <r>
    <s v="ORD-1618"/>
    <d v="2024-04-13T00:00:00"/>
    <x v="6"/>
    <x v="1"/>
    <n v="1"/>
    <n v="453"/>
    <n v="453"/>
    <x v="0"/>
    <x v="9"/>
    <x v="9"/>
  </r>
  <r>
    <s v="ORD-1619"/>
    <d v="2024-02-17T00:00:00"/>
    <x v="3"/>
    <x v="0"/>
    <n v="3"/>
    <n v="295"/>
    <n v="885"/>
    <x v="2"/>
    <x v="1"/>
    <x v="1"/>
  </r>
  <r>
    <s v="ORD-1620"/>
    <d v="2024-12-06T00:00:00"/>
    <x v="3"/>
    <x v="0"/>
    <n v="2"/>
    <n v="395"/>
    <n v="790"/>
    <x v="0"/>
    <x v="7"/>
    <x v="7"/>
  </r>
  <r>
    <s v="ORD-1621"/>
    <d v="2024-06-05T00:00:00"/>
    <x v="7"/>
    <x v="1"/>
    <n v="7"/>
    <n v="655"/>
    <n v="4585"/>
    <x v="0"/>
    <x v="4"/>
    <x v="4"/>
  </r>
  <r>
    <s v="ORD-1622"/>
    <d v="2024-02-18T00:00:00"/>
    <x v="2"/>
    <x v="0"/>
    <n v="2"/>
    <n v="735"/>
    <n v="1470"/>
    <x v="1"/>
    <x v="1"/>
    <x v="1"/>
  </r>
  <r>
    <s v="ORD-1623"/>
    <d v="2024-03-08T00:00:00"/>
    <x v="1"/>
    <x v="1"/>
    <n v="8"/>
    <n v="94"/>
    <n v="752"/>
    <x v="0"/>
    <x v="10"/>
    <x v="10"/>
  </r>
  <r>
    <s v="ORD-1624"/>
    <d v="2024-12-22T00:00:00"/>
    <x v="6"/>
    <x v="1"/>
    <n v="1"/>
    <n v="23"/>
    <n v="23"/>
    <x v="2"/>
    <x v="7"/>
    <x v="7"/>
  </r>
  <r>
    <s v="ORD-1625"/>
    <d v="2024-03-08T00:00:00"/>
    <x v="0"/>
    <x v="0"/>
    <n v="7"/>
    <n v="725"/>
    <n v="5075"/>
    <x v="3"/>
    <x v="10"/>
    <x v="10"/>
  </r>
  <r>
    <s v="ORD-1626"/>
    <d v="2024-02-15T00:00:00"/>
    <x v="0"/>
    <x v="0"/>
    <n v="4"/>
    <n v="407"/>
    <n v="1628"/>
    <x v="1"/>
    <x v="1"/>
    <x v="1"/>
  </r>
  <r>
    <s v="ORD-1627"/>
    <d v="2024-06-02T00:00:00"/>
    <x v="0"/>
    <x v="0"/>
    <n v="6"/>
    <n v="391"/>
    <n v="2346"/>
    <x v="0"/>
    <x v="4"/>
    <x v="4"/>
  </r>
  <r>
    <s v="ORD-1628"/>
    <d v="2024-12-12T00:00:00"/>
    <x v="2"/>
    <x v="0"/>
    <n v="3"/>
    <n v="671"/>
    <n v="2013"/>
    <x v="0"/>
    <x v="7"/>
    <x v="7"/>
  </r>
  <r>
    <s v="ORD-1629"/>
    <d v="2024-01-05T00:00:00"/>
    <x v="0"/>
    <x v="0"/>
    <n v="9"/>
    <n v="591"/>
    <n v="5319"/>
    <x v="0"/>
    <x v="2"/>
    <x v="2"/>
  </r>
  <r>
    <s v="ORD-1630"/>
    <d v="2024-04-19T00:00:00"/>
    <x v="6"/>
    <x v="1"/>
    <n v="6"/>
    <n v="754"/>
    <n v="4524"/>
    <x v="0"/>
    <x v="9"/>
    <x v="9"/>
  </r>
  <r>
    <s v="ORD-1631"/>
    <d v="2024-08-14T00:00:00"/>
    <x v="2"/>
    <x v="0"/>
    <n v="10"/>
    <n v="718"/>
    <n v="7180"/>
    <x v="0"/>
    <x v="6"/>
    <x v="6"/>
  </r>
  <r>
    <s v="ORD-1633"/>
    <d v="2024-03-12T00:00:00"/>
    <x v="5"/>
    <x v="1"/>
    <n v="7"/>
    <n v="337"/>
    <n v="2359"/>
    <x v="0"/>
    <x v="10"/>
    <x v="10"/>
  </r>
  <r>
    <s v="ORD-1634"/>
    <d v="2024-10-10T00:00:00"/>
    <x v="3"/>
    <x v="0"/>
    <n v="2"/>
    <n v="269"/>
    <n v="538"/>
    <x v="2"/>
    <x v="3"/>
    <x v="3"/>
  </r>
  <r>
    <s v="ORD-1635"/>
    <d v="2024-09-22T00:00:00"/>
    <x v="7"/>
    <x v="1"/>
    <n v="5"/>
    <n v="225"/>
    <n v="1125"/>
    <x v="0"/>
    <x v="11"/>
    <x v="11"/>
  </r>
  <r>
    <s v="ORD-1636"/>
    <d v="2024-01-28T00:00:00"/>
    <x v="2"/>
    <x v="0"/>
    <n v="5"/>
    <n v="676"/>
    <n v="3380"/>
    <x v="0"/>
    <x v="2"/>
    <x v="2"/>
  </r>
  <r>
    <s v="ORD-1637"/>
    <d v="2024-05-03T00:00:00"/>
    <x v="6"/>
    <x v="1"/>
    <n v="7"/>
    <n v="130"/>
    <n v="910"/>
    <x v="3"/>
    <x v="0"/>
    <x v="0"/>
  </r>
  <r>
    <s v="ORD-1638"/>
    <d v="2024-07-03T00:00:00"/>
    <x v="0"/>
    <x v="0"/>
    <n v="9"/>
    <n v="27"/>
    <n v="243"/>
    <x v="2"/>
    <x v="5"/>
    <x v="5"/>
  </r>
  <r>
    <s v="ORD-1639"/>
    <d v="2024-10-18T00:00:00"/>
    <x v="4"/>
    <x v="0"/>
    <n v="7"/>
    <n v="896"/>
    <n v="6272"/>
    <x v="3"/>
    <x v="3"/>
    <x v="3"/>
  </r>
  <r>
    <s v="ORD-1640"/>
    <d v="2024-03-29T00:00:00"/>
    <x v="5"/>
    <x v="1"/>
    <n v="9"/>
    <n v="714"/>
    <n v="6426"/>
    <x v="3"/>
    <x v="10"/>
    <x v="10"/>
  </r>
  <r>
    <s v="ORD-1641"/>
    <d v="2024-02-04T00:00:00"/>
    <x v="0"/>
    <x v="0"/>
    <n v="1"/>
    <n v="616"/>
    <n v="616"/>
    <x v="1"/>
    <x v="1"/>
    <x v="1"/>
  </r>
  <r>
    <s v="ORD-1642"/>
    <d v="2024-01-31T00:00:00"/>
    <x v="3"/>
    <x v="0"/>
    <n v="4"/>
    <n v="55"/>
    <n v="220"/>
    <x v="3"/>
    <x v="2"/>
    <x v="2"/>
  </r>
  <r>
    <s v="ORD-1643"/>
    <d v="2024-07-31T00:00:00"/>
    <x v="3"/>
    <x v="0"/>
    <n v="9"/>
    <n v="800"/>
    <n v="7200"/>
    <x v="3"/>
    <x v="5"/>
    <x v="5"/>
  </r>
  <r>
    <s v="ORD-1644"/>
    <d v="2024-10-01T00:00:00"/>
    <x v="2"/>
    <x v="0"/>
    <n v="2"/>
    <n v="670"/>
    <n v="1340"/>
    <x v="0"/>
    <x v="3"/>
    <x v="3"/>
  </r>
  <r>
    <s v="ORD-1645"/>
    <d v="2024-02-10T00:00:00"/>
    <x v="3"/>
    <x v="0"/>
    <n v="2"/>
    <n v="332"/>
    <n v="664"/>
    <x v="0"/>
    <x v="1"/>
    <x v="1"/>
  </r>
  <r>
    <s v="ORD-1646"/>
    <d v="2024-07-19T00:00:00"/>
    <x v="4"/>
    <x v="0"/>
    <n v="9"/>
    <n v="349"/>
    <n v="3141"/>
    <x v="1"/>
    <x v="5"/>
    <x v="5"/>
  </r>
  <r>
    <s v="ORD-1647"/>
    <d v="2024-05-02T00:00:00"/>
    <x v="3"/>
    <x v="0"/>
    <n v="7"/>
    <n v="762"/>
    <n v="5334"/>
    <x v="1"/>
    <x v="0"/>
    <x v="0"/>
  </r>
  <r>
    <s v="ORD-1648"/>
    <d v="2024-02-29T00:00:00"/>
    <x v="1"/>
    <x v="1"/>
    <n v="2"/>
    <n v="459"/>
    <n v="918"/>
    <x v="3"/>
    <x v="1"/>
    <x v="1"/>
  </r>
  <r>
    <s v="ORD-1649"/>
    <d v="2024-12-02T00:00:00"/>
    <x v="7"/>
    <x v="1"/>
    <n v="5"/>
    <n v="697"/>
    <n v="3485"/>
    <x v="0"/>
    <x v="7"/>
    <x v="7"/>
  </r>
  <r>
    <s v="ORD-1650"/>
    <d v="2024-03-11T00:00:00"/>
    <x v="0"/>
    <x v="0"/>
    <n v="1"/>
    <n v="739"/>
    <n v="739"/>
    <x v="1"/>
    <x v="10"/>
    <x v="10"/>
  </r>
  <r>
    <s v="ORD-1651"/>
    <d v="2024-09-24T00:00:00"/>
    <x v="4"/>
    <x v="0"/>
    <n v="8"/>
    <n v="370"/>
    <n v="2960"/>
    <x v="2"/>
    <x v="11"/>
    <x v="11"/>
  </r>
  <r>
    <s v="ORD-1652"/>
    <d v="2024-05-17T00:00:00"/>
    <x v="4"/>
    <x v="0"/>
    <n v="6"/>
    <n v="144"/>
    <n v="864"/>
    <x v="1"/>
    <x v="0"/>
    <x v="0"/>
  </r>
  <r>
    <s v="ORD-1653"/>
    <d v="2024-08-07T00:00:00"/>
    <x v="7"/>
    <x v="1"/>
    <n v="6"/>
    <n v="841"/>
    <n v="5046"/>
    <x v="2"/>
    <x v="6"/>
    <x v="6"/>
  </r>
  <r>
    <s v="ORD-1654"/>
    <d v="2024-10-22T00:00:00"/>
    <x v="0"/>
    <x v="0"/>
    <n v="5"/>
    <n v="744"/>
    <n v="3720"/>
    <x v="1"/>
    <x v="3"/>
    <x v="3"/>
  </r>
  <r>
    <s v="ORD-1655"/>
    <d v="2024-07-03T00:00:00"/>
    <x v="6"/>
    <x v="1"/>
    <n v="8"/>
    <n v="538"/>
    <n v="4304"/>
    <x v="1"/>
    <x v="5"/>
    <x v="5"/>
  </r>
  <r>
    <s v="ORD-1656"/>
    <d v="2024-07-07T00:00:00"/>
    <x v="6"/>
    <x v="1"/>
    <n v="10"/>
    <n v="185"/>
    <n v="1850"/>
    <x v="0"/>
    <x v="5"/>
    <x v="5"/>
  </r>
  <r>
    <s v="ORD-1657"/>
    <d v="2024-12-11T00:00:00"/>
    <x v="3"/>
    <x v="0"/>
    <n v="2"/>
    <n v="602"/>
    <n v="1204"/>
    <x v="1"/>
    <x v="7"/>
    <x v="7"/>
  </r>
  <r>
    <s v="ORD-1658"/>
    <d v="2024-01-23T00:00:00"/>
    <x v="1"/>
    <x v="1"/>
    <n v="9"/>
    <n v="17"/>
    <n v="153"/>
    <x v="1"/>
    <x v="2"/>
    <x v="2"/>
  </r>
  <r>
    <s v="ORD-1659"/>
    <d v="2024-07-05T00:00:00"/>
    <x v="1"/>
    <x v="1"/>
    <n v="1"/>
    <n v="498"/>
    <n v="498"/>
    <x v="3"/>
    <x v="5"/>
    <x v="5"/>
  </r>
  <r>
    <s v="ORD-1660"/>
    <d v="2024-01-19T00:00:00"/>
    <x v="4"/>
    <x v="0"/>
    <n v="3"/>
    <n v="893"/>
    <n v="2679"/>
    <x v="3"/>
    <x v="2"/>
    <x v="2"/>
  </r>
  <r>
    <s v="ORD-1663"/>
    <d v="2024-09-21T00:00:00"/>
    <x v="7"/>
    <x v="1"/>
    <n v="3"/>
    <n v="243"/>
    <n v="729"/>
    <x v="1"/>
    <x v="11"/>
    <x v="11"/>
  </r>
  <r>
    <s v="ORD-1664"/>
    <d v="2024-05-24T00:00:00"/>
    <x v="2"/>
    <x v="0"/>
    <n v="2"/>
    <n v="491"/>
    <n v="982"/>
    <x v="2"/>
    <x v="0"/>
    <x v="0"/>
  </r>
  <r>
    <s v="ORD-1665"/>
    <d v="2024-08-21T00:00:00"/>
    <x v="5"/>
    <x v="1"/>
    <n v="2"/>
    <n v="581"/>
    <n v="1162"/>
    <x v="1"/>
    <x v="6"/>
    <x v="6"/>
  </r>
  <r>
    <s v="ORD-1666"/>
    <d v="2024-10-15T00:00:00"/>
    <x v="5"/>
    <x v="1"/>
    <n v="4"/>
    <n v="313"/>
    <n v="1252"/>
    <x v="2"/>
    <x v="3"/>
    <x v="3"/>
  </r>
  <r>
    <s v="ORD-1667"/>
    <d v="2024-10-29T00:00:00"/>
    <x v="1"/>
    <x v="1"/>
    <n v="8"/>
    <n v="392"/>
    <n v="3136"/>
    <x v="3"/>
    <x v="3"/>
    <x v="3"/>
  </r>
  <r>
    <s v="ORD-1668"/>
    <d v="2024-05-05T00:00:00"/>
    <x v="1"/>
    <x v="1"/>
    <n v="9"/>
    <n v="793"/>
    <n v="7137"/>
    <x v="0"/>
    <x v="0"/>
    <x v="0"/>
  </r>
  <r>
    <s v="ORD-1669"/>
    <d v="2024-04-29T00:00:00"/>
    <x v="7"/>
    <x v="1"/>
    <n v="7"/>
    <n v="39"/>
    <n v="273"/>
    <x v="2"/>
    <x v="9"/>
    <x v="9"/>
  </r>
  <r>
    <s v="ORD-1670"/>
    <d v="2024-12-02T00:00:00"/>
    <x v="7"/>
    <x v="1"/>
    <n v="6"/>
    <n v="16"/>
    <n v="96"/>
    <x v="3"/>
    <x v="7"/>
    <x v="7"/>
  </r>
  <r>
    <s v="ORD-1671"/>
    <d v="2024-09-28T00:00:00"/>
    <x v="3"/>
    <x v="0"/>
    <n v="2"/>
    <n v="225"/>
    <n v="450"/>
    <x v="0"/>
    <x v="11"/>
    <x v="11"/>
  </r>
  <r>
    <s v="ORD-1672"/>
    <d v="2024-03-13T00:00:00"/>
    <x v="2"/>
    <x v="0"/>
    <n v="8"/>
    <n v="76"/>
    <n v="608"/>
    <x v="2"/>
    <x v="10"/>
    <x v="10"/>
  </r>
  <r>
    <s v="ORD-1673"/>
    <d v="2024-09-23T00:00:00"/>
    <x v="0"/>
    <x v="0"/>
    <n v="1"/>
    <n v="252"/>
    <n v="252"/>
    <x v="3"/>
    <x v="11"/>
    <x v="11"/>
  </r>
  <r>
    <s v="ORD-1674"/>
    <d v="2024-02-13T00:00:00"/>
    <x v="5"/>
    <x v="1"/>
    <n v="8"/>
    <n v="780"/>
    <n v="6240"/>
    <x v="1"/>
    <x v="1"/>
    <x v="1"/>
  </r>
  <r>
    <s v="ORD-1675"/>
    <d v="2024-10-30T00:00:00"/>
    <x v="4"/>
    <x v="0"/>
    <n v="7"/>
    <n v="91"/>
    <n v="637"/>
    <x v="1"/>
    <x v="3"/>
    <x v="3"/>
  </r>
  <r>
    <s v="ORD-1676"/>
    <d v="2024-05-29T00:00:00"/>
    <x v="2"/>
    <x v="0"/>
    <n v="3"/>
    <n v="257"/>
    <n v="771"/>
    <x v="2"/>
    <x v="0"/>
    <x v="0"/>
  </r>
  <r>
    <s v="ORD-1677"/>
    <d v="2024-06-16T00:00:00"/>
    <x v="5"/>
    <x v="1"/>
    <n v="7"/>
    <n v="732"/>
    <n v="5124"/>
    <x v="2"/>
    <x v="4"/>
    <x v="4"/>
  </r>
  <r>
    <s v="ORD-1678"/>
    <d v="2024-02-08T00:00:00"/>
    <x v="6"/>
    <x v="1"/>
    <n v="5"/>
    <n v="254"/>
    <n v="1270"/>
    <x v="0"/>
    <x v="1"/>
    <x v="1"/>
  </r>
  <r>
    <s v="ORD-1679"/>
    <d v="2024-03-20T00:00:00"/>
    <x v="4"/>
    <x v="0"/>
    <n v="10"/>
    <n v="126"/>
    <n v="1260"/>
    <x v="1"/>
    <x v="10"/>
    <x v="10"/>
  </r>
  <r>
    <s v="ORD-1680"/>
    <d v="2024-06-09T00:00:00"/>
    <x v="4"/>
    <x v="0"/>
    <n v="8"/>
    <n v="492"/>
    <n v="3936"/>
    <x v="3"/>
    <x v="4"/>
    <x v="4"/>
  </r>
  <r>
    <s v="ORD-1681"/>
    <d v="2024-04-16T00:00:00"/>
    <x v="0"/>
    <x v="0"/>
    <n v="9"/>
    <n v="381"/>
    <n v="3429"/>
    <x v="3"/>
    <x v="9"/>
    <x v="9"/>
  </r>
  <r>
    <s v="ORD-1682"/>
    <d v="2024-03-02T00:00:00"/>
    <x v="3"/>
    <x v="0"/>
    <n v="8"/>
    <n v="286"/>
    <n v="2288"/>
    <x v="1"/>
    <x v="10"/>
    <x v="10"/>
  </r>
  <r>
    <s v="ORD-1683"/>
    <d v="2024-12-26T00:00:00"/>
    <x v="4"/>
    <x v="0"/>
    <n v="5"/>
    <n v="861"/>
    <n v="4305"/>
    <x v="1"/>
    <x v="7"/>
    <x v="7"/>
  </r>
  <r>
    <s v="ORD-1684"/>
    <d v="2024-02-16T00:00:00"/>
    <x v="1"/>
    <x v="1"/>
    <n v="6"/>
    <n v="166"/>
    <n v="996"/>
    <x v="0"/>
    <x v="1"/>
    <x v="1"/>
  </r>
  <r>
    <s v="ORD-1685"/>
    <d v="2024-01-26T00:00:00"/>
    <x v="5"/>
    <x v="1"/>
    <n v="7"/>
    <n v="540"/>
    <n v="3780"/>
    <x v="2"/>
    <x v="2"/>
    <x v="2"/>
  </r>
  <r>
    <s v="ORD-1686"/>
    <d v="2024-07-26T00:00:00"/>
    <x v="3"/>
    <x v="0"/>
    <n v="3"/>
    <n v="46"/>
    <n v="138"/>
    <x v="3"/>
    <x v="5"/>
    <x v="5"/>
  </r>
  <r>
    <s v="ORD-1687"/>
    <d v="2024-02-22T00:00:00"/>
    <x v="1"/>
    <x v="1"/>
    <n v="2"/>
    <n v="488"/>
    <n v="976"/>
    <x v="0"/>
    <x v="1"/>
    <x v="1"/>
  </r>
  <r>
    <s v="ORD-1689"/>
    <d v="2024-12-17T00:00:00"/>
    <x v="1"/>
    <x v="1"/>
    <n v="7"/>
    <n v="396"/>
    <n v="2772"/>
    <x v="1"/>
    <x v="7"/>
    <x v="7"/>
  </r>
  <r>
    <s v="ORD-1690"/>
    <d v="2024-02-03T00:00:00"/>
    <x v="3"/>
    <x v="0"/>
    <n v="2"/>
    <n v="37"/>
    <n v="74"/>
    <x v="0"/>
    <x v="1"/>
    <x v="1"/>
  </r>
  <r>
    <s v="ORD-1691"/>
    <d v="2024-06-18T00:00:00"/>
    <x v="6"/>
    <x v="1"/>
    <n v="3"/>
    <n v="109"/>
    <n v="327"/>
    <x v="1"/>
    <x v="4"/>
    <x v="4"/>
  </r>
  <r>
    <s v="ORD-1692"/>
    <d v="2024-03-27T00:00:00"/>
    <x v="7"/>
    <x v="1"/>
    <n v="8"/>
    <n v="66"/>
    <n v="528"/>
    <x v="3"/>
    <x v="10"/>
    <x v="10"/>
  </r>
  <r>
    <s v="ORD-1693"/>
    <d v="2024-07-14T00:00:00"/>
    <x v="2"/>
    <x v="0"/>
    <n v="8"/>
    <n v="45"/>
    <n v="360"/>
    <x v="3"/>
    <x v="5"/>
    <x v="5"/>
  </r>
  <r>
    <s v="ORD-1694"/>
    <d v="2024-04-05T00:00:00"/>
    <x v="4"/>
    <x v="0"/>
    <n v="6"/>
    <n v="234"/>
    <n v="1404"/>
    <x v="2"/>
    <x v="9"/>
    <x v="9"/>
  </r>
  <r>
    <s v="ORD-1695"/>
    <d v="2024-01-18T00:00:00"/>
    <x v="3"/>
    <x v="0"/>
    <n v="8"/>
    <n v="167"/>
    <n v="1336"/>
    <x v="0"/>
    <x v="2"/>
    <x v="2"/>
  </r>
  <r>
    <s v="ORD-1696"/>
    <d v="2024-10-08T00:00:00"/>
    <x v="3"/>
    <x v="0"/>
    <n v="8"/>
    <n v="436"/>
    <n v="3488"/>
    <x v="3"/>
    <x v="3"/>
    <x v="3"/>
  </r>
  <r>
    <s v="ORD-1697"/>
    <d v="2024-07-15T00:00:00"/>
    <x v="7"/>
    <x v="1"/>
    <n v="2"/>
    <n v="301"/>
    <n v="602"/>
    <x v="0"/>
    <x v="5"/>
    <x v="5"/>
  </r>
  <r>
    <s v="ORD-1698"/>
    <d v="2024-09-26T00:00:00"/>
    <x v="2"/>
    <x v="0"/>
    <n v="4"/>
    <n v="673"/>
    <n v="2692"/>
    <x v="0"/>
    <x v="11"/>
    <x v="11"/>
  </r>
  <r>
    <s v="ORD-1699"/>
    <d v="2024-07-02T00:00:00"/>
    <x v="7"/>
    <x v="1"/>
    <n v="7"/>
    <n v="815"/>
    <n v="5705"/>
    <x v="3"/>
    <x v="5"/>
    <x v="5"/>
  </r>
  <r>
    <s v="ORD-1700"/>
    <d v="2024-09-14T00:00:00"/>
    <x v="6"/>
    <x v="1"/>
    <n v="6"/>
    <n v="594"/>
    <n v="3564"/>
    <x v="2"/>
    <x v="11"/>
    <x v="11"/>
  </r>
  <r>
    <s v="ORD-1701"/>
    <d v="2024-01-14T00:00:00"/>
    <x v="2"/>
    <x v="0"/>
    <n v="5"/>
    <n v="199"/>
    <n v="995"/>
    <x v="2"/>
    <x v="2"/>
    <x v="2"/>
  </r>
  <r>
    <s v="ORD-1702"/>
    <d v="2024-05-23T00:00:00"/>
    <x v="1"/>
    <x v="1"/>
    <n v="1"/>
    <n v="845"/>
    <n v="845"/>
    <x v="1"/>
    <x v="0"/>
    <x v="0"/>
  </r>
  <r>
    <s v="ORD-1703"/>
    <d v="2024-10-26T00:00:00"/>
    <x v="6"/>
    <x v="1"/>
    <n v="9"/>
    <n v="381"/>
    <n v="3429"/>
    <x v="0"/>
    <x v="3"/>
    <x v="3"/>
  </r>
  <r>
    <s v="ORD-1704"/>
    <d v="2024-12-02T00:00:00"/>
    <x v="4"/>
    <x v="0"/>
    <n v="2"/>
    <n v="268"/>
    <n v="536"/>
    <x v="0"/>
    <x v="7"/>
    <x v="7"/>
  </r>
  <r>
    <s v="ORD-1705"/>
    <d v="2024-01-29T00:00:00"/>
    <x v="3"/>
    <x v="0"/>
    <n v="9"/>
    <n v="850"/>
    <n v="7650"/>
    <x v="0"/>
    <x v="2"/>
    <x v="2"/>
  </r>
  <r>
    <s v="ORD-1706"/>
    <d v="2024-03-29T00:00:00"/>
    <x v="2"/>
    <x v="0"/>
    <n v="6"/>
    <n v="874"/>
    <n v="5244"/>
    <x v="0"/>
    <x v="10"/>
    <x v="10"/>
  </r>
  <r>
    <s v="ORD-1707"/>
    <d v="2024-12-23T00:00:00"/>
    <x v="1"/>
    <x v="1"/>
    <n v="10"/>
    <n v="340"/>
    <n v="3400"/>
    <x v="2"/>
    <x v="7"/>
    <x v="7"/>
  </r>
  <r>
    <s v="ORD-1708"/>
    <d v="2024-10-15T00:00:00"/>
    <x v="7"/>
    <x v="1"/>
    <n v="6"/>
    <n v="596"/>
    <n v="3576"/>
    <x v="0"/>
    <x v="3"/>
    <x v="3"/>
  </r>
  <r>
    <s v="ORD-1709"/>
    <d v="2024-06-07T00:00:00"/>
    <x v="1"/>
    <x v="1"/>
    <n v="8"/>
    <n v="570"/>
    <n v="4560"/>
    <x v="0"/>
    <x v="4"/>
    <x v="4"/>
  </r>
  <r>
    <s v="ORD-1710"/>
    <d v="2024-01-29T00:00:00"/>
    <x v="6"/>
    <x v="1"/>
    <n v="1"/>
    <n v="107"/>
    <n v="107"/>
    <x v="0"/>
    <x v="2"/>
    <x v="2"/>
  </r>
  <r>
    <s v="ORD-1711"/>
    <d v="2024-09-01T00:00:00"/>
    <x v="1"/>
    <x v="1"/>
    <n v="1"/>
    <n v="554"/>
    <n v="554"/>
    <x v="1"/>
    <x v="11"/>
    <x v="11"/>
  </r>
  <r>
    <s v="ORD-1712"/>
    <d v="2024-03-07T00:00:00"/>
    <x v="5"/>
    <x v="1"/>
    <n v="10"/>
    <n v="221"/>
    <n v="2210"/>
    <x v="2"/>
    <x v="10"/>
    <x v="10"/>
  </r>
  <r>
    <s v="ORD-1713"/>
    <d v="2024-01-12T00:00:00"/>
    <x v="4"/>
    <x v="0"/>
    <n v="6"/>
    <n v="75"/>
    <n v="450"/>
    <x v="0"/>
    <x v="2"/>
    <x v="2"/>
  </r>
  <r>
    <s v="ORD-1714"/>
    <d v="2024-09-26T00:00:00"/>
    <x v="4"/>
    <x v="0"/>
    <n v="2"/>
    <n v="881"/>
    <n v="1762"/>
    <x v="2"/>
    <x v="11"/>
    <x v="11"/>
  </r>
  <r>
    <s v="ORD-1715"/>
    <d v="2024-12-05T00:00:00"/>
    <x v="0"/>
    <x v="0"/>
    <n v="6"/>
    <n v="736"/>
    <n v="4416"/>
    <x v="3"/>
    <x v="7"/>
    <x v="7"/>
  </r>
  <r>
    <s v="ORD-1716"/>
    <d v="2024-06-14T00:00:00"/>
    <x v="0"/>
    <x v="0"/>
    <n v="6"/>
    <n v="324"/>
    <n v="1944"/>
    <x v="0"/>
    <x v="4"/>
    <x v="4"/>
  </r>
  <r>
    <s v="ORD-1717"/>
    <d v="2024-11-23T00:00:00"/>
    <x v="4"/>
    <x v="0"/>
    <n v="7"/>
    <n v="825"/>
    <n v="5775"/>
    <x v="3"/>
    <x v="8"/>
    <x v="8"/>
  </r>
  <r>
    <s v="ORD-1718"/>
    <d v="2024-10-14T00:00:00"/>
    <x v="5"/>
    <x v="1"/>
    <n v="3"/>
    <n v="739"/>
    <n v="2217"/>
    <x v="2"/>
    <x v="3"/>
    <x v="3"/>
  </r>
  <r>
    <s v="ORD-1719"/>
    <d v="2024-03-30T00:00:00"/>
    <x v="1"/>
    <x v="1"/>
    <n v="10"/>
    <n v="849"/>
    <n v="8490"/>
    <x v="3"/>
    <x v="10"/>
    <x v="10"/>
  </r>
  <r>
    <s v="ORD-1720"/>
    <d v="2024-03-31T00:00:00"/>
    <x v="3"/>
    <x v="0"/>
    <n v="5"/>
    <n v="145"/>
    <n v="725"/>
    <x v="1"/>
    <x v="10"/>
    <x v="10"/>
  </r>
  <r>
    <s v="ORD-1721"/>
    <d v="2024-04-03T00:00:00"/>
    <x v="2"/>
    <x v="0"/>
    <n v="10"/>
    <n v="48"/>
    <n v="480"/>
    <x v="2"/>
    <x v="9"/>
    <x v="9"/>
  </r>
  <r>
    <s v="ORD-1722"/>
    <d v="2024-09-11T00:00:00"/>
    <x v="1"/>
    <x v="1"/>
    <n v="10"/>
    <n v="121"/>
    <n v="1210"/>
    <x v="0"/>
    <x v="11"/>
    <x v="11"/>
  </r>
  <r>
    <s v="ORD-1723"/>
    <d v="2024-06-26T00:00:00"/>
    <x v="5"/>
    <x v="1"/>
    <n v="2"/>
    <n v="258"/>
    <n v="516"/>
    <x v="2"/>
    <x v="4"/>
    <x v="4"/>
  </r>
  <r>
    <s v="ORD-1724"/>
    <d v="2024-12-28T00:00:00"/>
    <x v="4"/>
    <x v="0"/>
    <n v="2"/>
    <n v="856"/>
    <n v="1712"/>
    <x v="2"/>
    <x v="7"/>
    <x v="7"/>
  </r>
  <r>
    <s v="ORD-1725"/>
    <d v="2024-04-17T00:00:00"/>
    <x v="6"/>
    <x v="1"/>
    <n v="1"/>
    <n v="286"/>
    <n v="286"/>
    <x v="0"/>
    <x v="9"/>
    <x v="9"/>
  </r>
  <r>
    <s v="ORD-1726"/>
    <d v="2024-02-25T00:00:00"/>
    <x v="0"/>
    <x v="0"/>
    <n v="6"/>
    <n v="277"/>
    <n v="1662"/>
    <x v="1"/>
    <x v="1"/>
    <x v="1"/>
  </r>
  <r>
    <s v="ORD-1727"/>
    <d v="2024-08-02T00:00:00"/>
    <x v="7"/>
    <x v="1"/>
    <n v="7"/>
    <n v="463"/>
    <n v="3241"/>
    <x v="0"/>
    <x v="6"/>
    <x v="6"/>
  </r>
  <r>
    <s v="ORD-1728"/>
    <d v="2024-06-28T00:00:00"/>
    <x v="2"/>
    <x v="0"/>
    <n v="8"/>
    <n v="402"/>
    <n v="3216"/>
    <x v="3"/>
    <x v="4"/>
    <x v="4"/>
  </r>
  <r>
    <s v="ORD-1729"/>
    <d v="2024-10-22T00:00:00"/>
    <x v="0"/>
    <x v="0"/>
    <n v="8"/>
    <n v="822"/>
    <n v="6576"/>
    <x v="0"/>
    <x v="3"/>
    <x v="3"/>
  </r>
  <r>
    <s v="ORD-1730"/>
    <d v="2024-01-18T00:00:00"/>
    <x v="4"/>
    <x v="0"/>
    <n v="8"/>
    <n v="90"/>
    <n v="720"/>
    <x v="2"/>
    <x v="2"/>
    <x v="2"/>
  </r>
  <r>
    <s v="ORD-1731"/>
    <d v="2024-02-23T00:00:00"/>
    <x v="7"/>
    <x v="1"/>
    <n v="6"/>
    <n v="282"/>
    <n v="1692"/>
    <x v="1"/>
    <x v="1"/>
    <x v="1"/>
  </r>
  <r>
    <s v="ORD-1732"/>
    <d v="2024-03-23T00:00:00"/>
    <x v="5"/>
    <x v="1"/>
    <n v="3"/>
    <n v="399"/>
    <n v="1197"/>
    <x v="1"/>
    <x v="10"/>
    <x v="10"/>
  </r>
  <r>
    <s v="ORD-1733"/>
    <d v="2024-11-10T00:00:00"/>
    <x v="0"/>
    <x v="0"/>
    <n v="6"/>
    <n v="623"/>
    <n v="3738"/>
    <x v="3"/>
    <x v="8"/>
    <x v="8"/>
  </r>
  <r>
    <s v="ORD-1734"/>
    <d v="2024-03-25T00:00:00"/>
    <x v="7"/>
    <x v="1"/>
    <n v="7"/>
    <n v="684"/>
    <n v="4788"/>
    <x v="3"/>
    <x v="10"/>
    <x v="10"/>
  </r>
  <r>
    <s v="ORD-1735"/>
    <d v="2024-06-18T00:00:00"/>
    <x v="4"/>
    <x v="0"/>
    <n v="1"/>
    <n v="118"/>
    <n v="118"/>
    <x v="0"/>
    <x v="4"/>
    <x v="4"/>
  </r>
  <r>
    <s v="ORD-1736"/>
    <d v="2024-10-10T00:00:00"/>
    <x v="1"/>
    <x v="1"/>
    <n v="7"/>
    <n v="728"/>
    <n v="5096"/>
    <x v="2"/>
    <x v="3"/>
    <x v="3"/>
  </r>
  <r>
    <s v="ORD-1737"/>
    <d v="2024-02-19T00:00:00"/>
    <x v="3"/>
    <x v="0"/>
    <n v="5"/>
    <n v="258"/>
    <n v="1290"/>
    <x v="1"/>
    <x v="1"/>
    <x v="1"/>
  </r>
  <r>
    <s v="ORD-1738"/>
    <d v="2024-09-08T00:00:00"/>
    <x v="2"/>
    <x v="0"/>
    <n v="10"/>
    <n v="577"/>
    <n v="5770"/>
    <x v="0"/>
    <x v="11"/>
    <x v="11"/>
  </r>
  <r>
    <s v="ORD-1739"/>
    <d v="2024-08-06T00:00:00"/>
    <x v="7"/>
    <x v="1"/>
    <n v="6"/>
    <n v="18"/>
    <n v="108"/>
    <x v="1"/>
    <x v="6"/>
    <x v="6"/>
  </r>
  <r>
    <s v="ORD-1740"/>
    <d v="2024-04-12T00:00:00"/>
    <x v="3"/>
    <x v="0"/>
    <n v="10"/>
    <n v="506"/>
    <n v="5060"/>
    <x v="1"/>
    <x v="9"/>
    <x v="9"/>
  </r>
  <r>
    <s v="ORD-1741"/>
    <d v="2024-11-22T00:00:00"/>
    <x v="7"/>
    <x v="1"/>
    <n v="4"/>
    <n v="189"/>
    <n v="756"/>
    <x v="2"/>
    <x v="8"/>
    <x v="8"/>
  </r>
  <r>
    <s v="ORD-1742"/>
    <d v="2024-02-29T00:00:00"/>
    <x v="0"/>
    <x v="0"/>
    <n v="8"/>
    <n v="879"/>
    <n v="7032"/>
    <x v="2"/>
    <x v="1"/>
    <x v="1"/>
  </r>
  <r>
    <s v="ORD-1743"/>
    <d v="2024-12-04T00:00:00"/>
    <x v="2"/>
    <x v="0"/>
    <n v="8"/>
    <n v="515"/>
    <n v="4120"/>
    <x v="2"/>
    <x v="7"/>
    <x v="7"/>
  </r>
  <r>
    <s v="ORD-1745"/>
    <d v="2024-08-16T00:00:00"/>
    <x v="2"/>
    <x v="0"/>
    <n v="6"/>
    <n v="206"/>
    <n v="1236"/>
    <x v="1"/>
    <x v="6"/>
    <x v="6"/>
  </r>
  <r>
    <s v="ORD-1746"/>
    <d v="2024-05-14T00:00:00"/>
    <x v="3"/>
    <x v="0"/>
    <n v="8"/>
    <n v="491"/>
    <n v="3928"/>
    <x v="0"/>
    <x v="0"/>
    <x v="0"/>
  </r>
  <r>
    <s v="ORD-1747"/>
    <d v="2024-03-18T00:00:00"/>
    <x v="3"/>
    <x v="0"/>
    <n v="10"/>
    <n v="78"/>
    <n v="780"/>
    <x v="1"/>
    <x v="10"/>
    <x v="10"/>
  </r>
  <r>
    <s v="ORD-1748"/>
    <d v="2024-10-04T00:00:00"/>
    <x v="0"/>
    <x v="0"/>
    <n v="6"/>
    <n v="842"/>
    <n v="5052"/>
    <x v="3"/>
    <x v="3"/>
    <x v="3"/>
  </r>
  <r>
    <s v="ORD-1749"/>
    <d v="2024-07-17T00:00:00"/>
    <x v="1"/>
    <x v="1"/>
    <n v="9"/>
    <n v="77"/>
    <n v="693"/>
    <x v="3"/>
    <x v="5"/>
    <x v="5"/>
  </r>
  <r>
    <s v="ORD-1750"/>
    <d v="2024-08-31T00:00:00"/>
    <x v="6"/>
    <x v="1"/>
    <n v="10"/>
    <n v="256"/>
    <n v="2560"/>
    <x v="2"/>
    <x v="6"/>
    <x v="6"/>
  </r>
  <r>
    <s v="ORD-1751"/>
    <d v="2024-01-18T00:00:00"/>
    <x v="0"/>
    <x v="0"/>
    <n v="7"/>
    <n v="889"/>
    <n v="6223"/>
    <x v="0"/>
    <x v="2"/>
    <x v="2"/>
  </r>
  <r>
    <s v="ORD-1752"/>
    <d v="2024-03-26T00:00:00"/>
    <x v="0"/>
    <x v="0"/>
    <n v="8"/>
    <n v="192"/>
    <n v="1536"/>
    <x v="0"/>
    <x v="10"/>
    <x v="10"/>
  </r>
  <r>
    <s v="ORD-1753"/>
    <d v="2024-08-04T00:00:00"/>
    <x v="1"/>
    <x v="1"/>
    <n v="3"/>
    <n v="58"/>
    <n v="174"/>
    <x v="1"/>
    <x v="6"/>
    <x v="6"/>
  </r>
  <r>
    <s v="ORD-1754"/>
    <d v="2024-11-17T00:00:00"/>
    <x v="2"/>
    <x v="0"/>
    <n v="4"/>
    <n v="857"/>
    <n v="3428"/>
    <x v="0"/>
    <x v="8"/>
    <x v="8"/>
  </r>
  <r>
    <s v="ORD-1755"/>
    <d v="2024-02-04T00:00:00"/>
    <x v="3"/>
    <x v="0"/>
    <n v="6"/>
    <n v="759"/>
    <n v="4554"/>
    <x v="1"/>
    <x v="1"/>
    <x v="1"/>
  </r>
  <r>
    <s v="ORD-1756"/>
    <d v="2024-10-09T00:00:00"/>
    <x v="2"/>
    <x v="0"/>
    <n v="9"/>
    <n v="421"/>
    <n v="3789"/>
    <x v="2"/>
    <x v="3"/>
    <x v="3"/>
  </r>
  <r>
    <s v="ORD-1757"/>
    <d v="2024-01-07T00:00:00"/>
    <x v="3"/>
    <x v="0"/>
    <n v="9"/>
    <n v="484"/>
    <n v="4356"/>
    <x v="3"/>
    <x v="2"/>
    <x v="2"/>
  </r>
  <r>
    <s v="ORD-1758"/>
    <d v="2024-03-16T00:00:00"/>
    <x v="0"/>
    <x v="0"/>
    <n v="7"/>
    <n v="168"/>
    <n v="1176"/>
    <x v="1"/>
    <x v="10"/>
    <x v="10"/>
  </r>
  <r>
    <s v="ORD-1759"/>
    <d v="2024-02-21T00:00:00"/>
    <x v="0"/>
    <x v="0"/>
    <n v="10"/>
    <n v="813"/>
    <n v="8130"/>
    <x v="2"/>
    <x v="1"/>
    <x v="1"/>
  </r>
  <r>
    <s v="ORD-1761"/>
    <d v="2024-05-21T00:00:00"/>
    <x v="6"/>
    <x v="1"/>
    <n v="1"/>
    <n v="191"/>
    <n v="191"/>
    <x v="3"/>
    <x v="0"/>
    <x v="0"/>
  </r>
  <r>
    <s v="ORD-1762"/>
    <d v="2024-12-14T00:00:00"/>
    <x v="4"/>
    <x v="0"/>
    <n v="10"/>
    <n v="638"/>
    <n v="6380"/>
    <x v="3"/>
    <x v="7"/>
    <x v="7"/>
  </r>
  <r>
    <s v="ORD-1763"/>
    <d v="2024-12-19T00:00:00"/>
    <x v="7"/>
    <x v="1"/>
    <n v="7"/>
    <n v="354"/>
    <n v="2478"/>
    <x v="0"/>
    <x v="7"/>
    <x v="7"/>
  </r>
  <r>
    <s v="ORD-1764"/>
    <d v="2024-07-09T00:00:00"/>
    <x v="7"/>
    <x v="1"/>
    <n v="8"/>
    <n v="290"/>
    <n v="2320"/>
    <x v="1"/>
    <x v="5"/>
    <x v="5"/>
  </r>
  <r>
    <s v="ORD-1765"/>
    <d v="2024-05-23T00:00:00"/>
    <x v="5"/>
    <x v="1"/>
    <n v="5"/>
    <n v="333"/>
    <n v="1665"/>
    <x v="3"/>
    <x v="0"/>
    <x v="0"/>
  </r>
  <r>
    <s v="ORD-1766"/>
    <d v="2024-06-02T00:00:00"/>
    <x v="0"/>
    <x v="0"/>
    <n v="4"/>
    <n v="152"/>
    <n v="608"/>
    <x v="3"/>
    <x v="4"/>
    <x v="4"/>
  </r>
  <r>
    <s v="ORD-1768"/>
    <d v="2024-07-27T00:00:00"/>
    <x v="1"/>
    <x v="1"/>
    <n v="8"/>
    <n v="231"/>
    <n v="1848"/>
    <x v="3"/>
    <x v="5"/>
    <x v="5"/>
  </r>
  <r>
    <s v="ORD-1769"/>
    <d v="2024-03-22T00:00:00"/>
    <x v="5"/>
    <x v="1"/>
    <n v="1"/>
    <n v="542"/>
    <n v="542"/>
    <x v="1"/>
    <x v="10"/>
    <x v="10"/>
  </r>
  <r>
    <s v="ORD-1771"/>
    <d v="2024-04-12T00:00:00"/>
    <x v="4"/>
    <x v="0"/>
    <n v="4"/>
    <n v="867"/>
    <n v="3468"/>
    <x v="1"/>
    <x v="9"/>
    <x v="9"/>
  </r>
  <r>
    <s v="ORD-1772"/>
    <d v="2024-01-26T00:00:00"/>
    <x v="1"/>
    <x v="1"/>
    <n v="1"/>
    <n v="482"/>
    <n v="482"/>
    <x v="2"/>
    <x v="2"/>
    <x v="2"/>
  </r>
  <r>
    <s v="ORD-1773"/>
    <d v="2024-08-25T00:00:00"/>
    <x v="1"/>
    <x v="1"/>
    <n v="5"/>
    <n v="392"/>
    <n v="1960"/>
    <x v="3"/>
    <x v="6"/>
    <x v="6"/>
  </r>
  <r>
    <s v="ORD-1774"/>
    <d v="2024-07-09T00:00:00"/>
    <x v="0"/>
    <x v="0"/>
    <n v="1"/>
    <n v="262"/>
    <n v="262"/>
    <x v="3"/>
    <x v="5"/>
    <x v="5"/>
  </r>
  <r>
    <s v="ORD-1775"/>
    <d v="2024-10-27T00:00:00"/>
    <x v="6"/>
    <x v="1"/>
    <n v="3"/>
    <n v="500"/>
    <n v="1500"/>
    <x v="2"/>
    <x v="3"/>
    <x v="3"/>
  </r>
  <r>
    <s v="ORD-1776"/>
    <d v="2024-05-12T00:00:00"/>
    <x v="5"/>
    <x v="1"/>
    <n v="3"/>
    <n v="872"/>
    <n v="2616"/>
    <x v="1"/>
    <x v="0"/>
    <x v="0"/>
  </r>
  <r>
    <s v="ORD-1777"/>
    <d v="2024-01-26T00:00:00"/>
    <x v="3"/>
    <x v="0"/>
    <n v="1"/>
    <n v="410"/>
    <n v="410"/>
    <x v="0"/>
    <x v="2"/>
    <x v="2"/>
  </r>
  <r>
    <s v="ORD-1778"/>
    <d v="2024-04-25T00:00:00"/>
    <x v="1"/>
    <x v="1"/>
    <n v="4"/>
    <n v="677"/>
    <n v="2708"/>
    <x v="0"/>
    <x v="9"/>
    <x v="9"/>
  </r>
  <r>
    <s v="ORD-1779"/>
    <d v="2024-01-11T00:00:00"/>
    <x v="3"/>
    <x v="0"/>
    <n v="7"/>
    <n v="540"/>
    <n v="3780"/>
    <x v="1"/>
    <x v="2"/>
    <x v="2"/>
  </r>
  <r>
    <s v="ORD-1780"/>
    <d v="2024-03-29T00:00:00"/>
    <x v="6"/>
    <x v="1"/>
    <n v="3"/>
    <n v="677"/>
    <n v="2031"/>
    <x v="1"/>
    <x v="10"/>
    <x v="10"/>
  </r>
  <r>
    <s v="ORD-1781"/>
    <d v="2024-06-05T00:00:00"/>
    <x v="1"/>
    <x v="1"/>
    <n v="5"/>
    <n v="637"/>
    <n v="3185"/>
    <x v="2"/>
    <x v="4"/>
    <x v="4"/>
  </r>
  <r>
    <s v="ORD-1782"/>
    <d v="2024-06-27T00:00:00"/>
    <x v="2"/>
    <x v="0"/>
    <n v="7"/>
    <n v="887"/>
    <n v="6209"/>
    <x v="3"/>
    <x v="4"/>
    <x v="4"/>
  </r>
  <r>
    <s v="ORD-1783"/>
    <d v="2024-06-03T00:00:00"/>
    <x v="3"/>
    <x v="0"/>
    <n v="4"/>
    <n v="492"/>
    <n v="1968"/>
    <x v="3"/>
    <x v="4"/>
    <x v="4"/>
  </r>
  <r>
    <s v="ORD-1784"/>
    <d v="2024-12-05T00:00:00"/>
    <x v="0"/>
    <x v="0"/>
    <n v="1"/>
    <n v="538"/>
    <n v="538"/>
    <x v="2"/>
    <x v="7"/>
    <x v="7"/>
  </r>
  <r>
    <s v="ORD-1785"/>
    <d v="2024-02-25T00:00:00"/>
    <x v="3"/>
    <x v="0"/>
    <n v="5"/>
    <n v="715"/>
    <n v="3575"/>
    <x v="3"/>
    <x v="1"/>
    <x v="1"/>
  </r>
  <r>
    <s v="ORD-1786"/>
    <d v="2024-11-23T00:00:00"/>
    <x v="0"/>
    <x v="0"/>
    <n v="6"/>
    <n v="298"/>
    <n v="1788"/>
    <x v="2"/>
    <x v="8"/>
    <x v="8"/>
  </r>
  <r>
    <s v="ORD-1787"/>
    <d v="2024-12-30T00:00:00"/>
    <x v="3"/>
    <x v="0"/>
    <n v="5"/>
    <n v="686"/>
    <n v="3430"/>
    <x v="2"/>
    <x v="7"/>
    <x v="7"/>
  </r>
  <r>
    <s v="ORD-1788"/>
    <d v="2024-05-03T00:00:00"/>
    <x v="1"/>
    <x v="1"/>
    <n v="3"/>
    <n v="544"/>
    <n v="1632"/>
    <x v="1"/>
    <x v="0"/>
    <x v="0"/>
  </r>
  <r>
    <s v="ORD-1789"/>
    <d v="2024-03-12T00:00:00"/>
    <x v="2"/>
    <x v="0"/>
    <n v="6"/>
    <n v="712"/>
    <n v="4272"/>
    <x v="1"/>
    <x v="10"/>
    <x v="10"/>
  </r>
  <r>
    <s v="ORD-1790"/>
    <d v="2024-08-02T00:00:00"/>
    <x v="6"/>
    <x v="1"/>
    <n v="5"/>
    <n v="280"/>
    <n v="1400"/>
    <x v="3"/>
    <x v="6"/>
    <x v="6"/>
  </r>
  <r>
    <s v="ORD-1791"/>
    <d v="2024-12-28T00:00:00"/>
    <x v="2"/>
    <x v="0"/>
    <n v="1"/>
    <n v="612"/>
    <n v="612"/>
    <x v="0"/>
    <x v="7"/>
    <x v="7"/>
  </r>
  <r>
    <s v="ORD-1792"/>
    <d v="2024-09-30T00:00:00"/>
    <x v="5"/>
    <x v="1"/>
    <n v="4"/>
    <n v="717"/>
    <n v="2868"/>
    <x v="3"/>
    <x v="11"/>
    <x v="11"/>
  </r>
  <r>
    <s v="ORD-1793"/>
    <d v="2024-03-28T00:00:00"/>
    <x v="5"/>
    <x v="1"/>
    <n v="9"/>
    <n v="322"/>
    <n v="2898"/>
    <x v="0"/>
    <x v="10"/>
    <x v="10"/>
  </r>
  <r>
    <s v="ORD-1794"/>
    <d v="2024-03-06T00:00:00"/>
    <x v="3"/>
    <x v="0"/>
    <n v="2"/>
    <n v="497"/>
    <n v="994"/>
    <x v="2"/>
    <x v="10"/>
    <x v="10"/>
  </r>
  <r>
    <s v="ORD-1795"/>
    <d v="2024-02-15T00:00:00"/>
    <x v="4"/>
    <x v="0"/>
    <n v="6"/>
    <n v="685"/>
    <n v="4110"/>
    <x v="0"/>
    <x v="1"/>
    <x v="1"/>
  </r>
  <r>
    <s v="ORD-1796"/>
    <d v="2024-06-06T00:00:00"/>
    <x v="5"/>
    <x v="1"/>
    <n v="4"/>
    <n v="777"/>
    <n v="3108"/>
    <x v="3"/>
    <x v="4"/>
    <x v="4"/>
  </r>
  <r>
    <s v="ORD-1797"/>
    <d v="2024-10-26T00:00:00"/>
    <x v="5"/>
    <x v="1"/>
    <n v="6"/>
    <n v="281"/>
    <n v="1686"/>
    <x v="2"/>
    <x v="3"/>
    <x v="3"/>
  </r>
  <r>
    <s v="ORD-1798"/>
    <d v="2024-01-28T00:00:00"/>
    <x v="6"/>
    <x v="1"/>
    <n v="2"/>
    <n v="496"/>
    <n v="992"/>
    <x v="1"/>
    <x v="2"/>
    <x v="2"/>
  </r>
  <r>
    <s v="ORD-1799"/>
    <d v="2024-03-02T00:00:00"/>
    <x v="6"/>
    <x v="1"/>
    <n v="4"/>
    <n v="527"/>
    <n v="2108"/>
    <x v="3"/>
    <x v="10"/>
    <x v="10"/>
  </r>
  <r>
    <s v="ORD-1800"/>
    <d v="2024-03-18T00:00:00"/>
    <x v="3"/>
    <x v="0"/>
    <n v="7"/>
    <n v="70"/>
    <n v="490"/>
    <x v="0"/>
    <x v="10"/>
    <x v="10"/>
  </r>
  <r>
    <s v="ORD-1801"/>
    <d v="2024-10-18T00:00:00"/>
    <x v="1"/>
    <x v="1"/>
    <n v="6"/>
    <n v="434"/>
    <n v="2604"/>
    <x v="3"/>
    <x v="3"/>
    <x v="3"/>
  </r>
  <r>
    <s v="ORD-1802"/>
    <d v="2024-04-02T00:00:00"/>
    <x v="4"/>
    <x v="0"/>
    <n v="6"/>
    <n v="898"/>
    <n v="5388"/>
    <x v="1"/>
    <x v="9"/>
    <x v="9"/>
  </r>
  <r>
    <s v="ORD-1803"/>
    <d v="2024-03-31T00:00:00"/>
    <x v="6"/>
    <x v="1"/>
    <n v="6"/>
    <n v="661"/>
    <n v="3966"/>
    <x v="2"/>
    <x v="10"/>
    <x v="10"/>
  </r>
  <r>
    <s v="ORD-1804"/>
    <d v="2024-05-20T00:00:00"/>
    <x v="7"/>
    <x v="1"/>
    <n v="1"/>
    <n v="477"/>
    <n v="477"/>
    <x v="0"/>
    <x v="0"/>
    <x v="0"/>
  </r>
  <r>
    <s v="ORD-1805"/>
    <d v="2024-03-22T00:00:00"/>
    <x v="4"/>
    <x v="0"/>
    <n v="10"/>
    <n v="797"/>
    <n v="7970"/>
    <x v="3"/>
    <x v="10"/>
    <x v="10"/>
  </r>
  <r>
    <s v="ORD-1806"/>
    <d v="2024-08-10T00:00:00"/>
    <x v="0"/>
    <x v="0"/>
    <n v="3"/>
    <n v="644"/>
    <n v="1932"/>
    <x v="3"/>
    <x v="6"/>
    <x v="6"/>
  </r>
  <r>
    <s v="ORD-1807"/>
    <d v="2024-07-15T00:00:00"/>
    <x v="2"/>
    <x v="0"/>
    <n v="7"/>
    <n v="503"/>
    <n v="3521"/>
    <x v="1"/>
    <x v="5"/>
    <x v="5"/>
  </r>
  <r>
    <s v="ORD-1808"/>
    <d v="2024-07-10T00:00:00"/>
    <x v="7"/>
    <x v="1"/>
    <n v="9"/>
    <n v="219"/>
    <n v="1971"/>
    <x v="1"/>
    <x v="5"/>
    <x v="5"/>
  </r>
  <r>
    <s v="ORD-1809"/>
    <d v="2024-01-10T00:00:00"/>
    <x v="5"/>
    <x v="1"/>
    <n v="9"/>
    <n v="210"/>
    <n v="1890"/>
    <x v="1"/>
    <x v="2"/>
    <x v="2"/>
  </r>
  <r>
    <s v="ORD-1810"/>
    <d v="2024-06-25T00:00:00"/>
    <x v="1"/>
    <x v="1"/>
    <n v="4"/>
    <n v="725"/>
    <n v="2900"/>
    <x v="2"/>
    <x v="4"/>
    <x v="4"/>
  </r>
  <r>
    <s v="ORD-1811"/>
    <d v="2024-09-14T00:00:00"/>
    <x v="4"/>
    <x v="0"/>
    <n v="2"/>
    <n v="407"/>
    <n v="814"/>
    <x v="2"/>
    <x v="11"/>
    <x v="11"/>
  </r>
  <r>
    <s v="ORD-1812"/>
    <d v="2024-01-24T00:00:00"/>
    <x v="4"/>
    <x v="0"/>
    <n v="2"/>
    <n v="858"/>
    <n v="1716"/>
    <x v="2"/>
    <x v="2"/>
    <x v="2"/>
  </r>
  <r>
    <s v="ORD-1813"/>
    <d v="2024-09-23T00:00:00"/>
    <x v="3"/>
    <x v="0"/>
    <n v="8"/>
    <n v="760"/>
    <n v="6080"/>
    <x v="2"/>
    <x v="11"/>
    <x v="11"/>
  </r>
  <r>
    <s v="ORD-1814"/>
    <d v="2024-09-07T00:00:00"/>
    <x v="2"/>
    <x v="0"/>
    <n v="3"/>
    <n v="365"/>
    <n v="1095"/>
    <x v="2"/>
    <x v="11"/>
    <x v="11"/>
  </r>
  <r>
    <s v="ORD-1815"/>
    <d v="2024-07-25T00:00:00"/>
    <x v="1"/>
    <x v="1"/>
    <n v="3"/>
    <n v="846"/>
    <n v="2538"/>
    <x v="1"/>
    <x v="5"/>
    <x v="5"/>
  </r>
  <r>
    <s v="ORD-1816"/>
    <d v="2024-03-08T00:00:00"/>
    <x v="1"/>
    <x v="1"/>
    <n v="4"/>
    <n v="759"/>
    <n v="3036"/>
    <x v="0"/>
    <x v="10"/>
    <x v="10"/>
  </r>
  <r>
    <s v="ORD-1817"/>
    <d v="2024-03-27T00:00:00"/>
    <x v="7"/>
    <x v="1"/>
    <n v="10"/>
    <n v="531"/>
    <n v="5310"/>
    <x v="1"/>
    <x v="10"/>
    <x v="10"/>
  </r>
  <r>
    <s v="ORD-1818"/>
    <d v="2024-11-23T00:00:00"/>
    <x v="5"/>
    <x v="1"/>
    <n v="1"/>
    <n v="399"/>
    <n v="399"/>
    <x v="2"/>
    <x v="8"/>
    <x v="8"/>
  </r>
  <r>
    <s v="ORD-1820"/>
    <d v="2024-02-29T00:00:00"/>
    <x v="7"/>
    <x v="1"/>
    <n v="1"/>
    <n v="721"/>
    <n v="721"/>
    <x v="3"/>
    <x v="1"/>
    <x v="1"/>
  </r>
  <r>
    <s v="ORD-1821"/>
    <d v="2024-10-07T00:00:00"/>
    <x v="6"/>
    <x v="1"/>
    <n v="7"/>
    <n v="141"/>
    <n v="987"/>
    <x v="2"/>
    <x v="3"/>
    <x v="3"/>
  </r>
  <r>
    <s v="ORD-1822"/>
    <d v="2024-12-21T00:00:00"/>
    <x v="6"/>
    <x v="1"/>
    <n v="3"/>
    <n v="225"/>
    <n v="675"/>
    <x v="1"/>
    <x v="7"/>
    <x v="7"/>
  </r>
  <r>
    <s v="ORD-1823"/>
    <d v="2024-02-21T00:00:00"/>
    <x v="3"/>
    <x v="0"/>
    <n v="7"/>
    <n v="692"/>
    <n v="4844"/>
    <x v="2"/>
    <x v="1"/>
    <x v="1"/>
  </r>
  <r>
    <s v="ORD-1824"/>
    <d v="2024-02-23T00:00:00"/>
    <x v="4"/>
    <x v="0"/>
    <n v="7"/>
    <n v="865"/>
    <n v="6055"/>
    <x v="1"/>
    <x v="1"/>
    <x v="1"/>
  </r>
  <r>
    <s v="ORD-1825"/>
    <d v="2024-02-24T00:00:00"/>
    <x v="3"/>
    <x v="0"/>
    <n v="2"/>
    <n v="818"/>
    <n v="1636"/>
    <x v="3"/>
    <x v="1"/>
    <x v="1"/>
  </r>
  <r>
    <s v="ORD-1826"/>
    <d v="2024-05-14T00:00:00"/>
    <x v="1"/>
    <x v="1"/>
    <n v="10"/>
    <n v="219"/>
    <n v="2190"/>
    <x v="0"/>
    <x v="0"/>
    <x v="0"/>
  </r>
  <r>
    <s v="ORD-1827"/>
    <d v="2024-03-23T00:00:00"/>
    <x v="5"/>
    <x v="1"/>
    <n v="7"/>
    <n v="317"/>
    <n v="2219"/>
    <x v="1"/>
    <x v="10"/>
    <x v="10"/>
  </r>
  <r>
    <s v="ORD-1828"/>
    <d v="2024-09-03T00:00:00"/>
    <x v="6"/>
    <x v="1"/>
    <n v="4"/>
    <n v="719"/>
    <n v="2876"/>
    <x v="2"/>
    <x v="11"/>
    <x v="11"/>
  </r>
  <r>
    <s v="ORD-1829"/>
    <d v="2024-12-09T00:00:00"/>
    <x v="1"/>
    <x v="1"/>
    <n v="1"/>
    <n v="28"/>
    <n v="28"/>
    <x v="1"/>
    <x v="7"/>
    <x v="7"/>
  </r>
  <r>
    <s v="ORD-1830"/>
    <d v="2024-09-09T00:00:00"/>
    <x v="0"/>
    <x v="0"/>
    <n v="10"/>
    <n v="700"/>
    <n v="7000"/>
    <x v="0"/>
    <x v="11"/>
    <x v="11"/>
  </r>
  <r>
    <s v="ORD-1831"/>
    <d v="2024-02-21T00:00:00"/>
    <x v="0"/>
    <x v="0"/>
    <n v="9"/>
    <n v="91"/>
    <n v="819"/>
    <x v="2"/>
    <x v="1"/>
    <x v="1"/>
  </r>
  <r>
    <s v="ORD-1832"/>
    <d v="2024-05-15T00:00:00"/>
    <x v="1"/>
    <x v="1"/>
    <n v="8"/>
    <n v="318"/>
    <n v="2544"/>
    <x v="3"/>
    <x v="0"/>
    <x v="0"/>
  </r>
  <r>
    <s v="ORD-1833"/>
    <d v="2024-03-30T00:00:00"/>
    <x v="7"/>
    <x v="1"/>
    <n v="2"/>
    <n v="847"/>
    <n v="1694"/>
    <x v="1"/>
    <x v="10"/>
    <x v="10"/>
  </r>
  <r>
    <s v="ORD-1834"/>
    <d v="2024-12-12T00:00:00"/>
    <x v="3"/>
    <x v="0"/>
    <n v="6"/>
    <n v="835"/>
    <n v="5010"/>
    <x v="2"/>
    <x v="7"/>
    <x v="7"/>
  </r>
  <r>
    <s v="ORD-1835"/>
    <d v="2024-01-24T00:00:00"/>
    <x v="2"/>
    <x v="0"/>
    <n v="2"/>
    <n v="112"/>
    <n v="224"/>
    <x v="1"/>
    <x v="2"/>
    <x v="2"/>
  </r>
  <r>
    <s v="ORD-1836"/>
    <d v="2024-07-02T00:00:00"/>
    <x v="4"/>
    <x v="0"/>
    <n v="3"/>
    <n v="351"/>
    <n v="1053"/>
    <x v="3"/>
    <x v="5"/>
    <x v="5"/>
  </r>
  <r>
    <s v="ORD-1837"/>
    <d v="2024-06-24T00:00:00"/>
    <x v="3"/>
    <x v="0"/>
    <n v="2"/>
    <n v="396"/>
    <n v="792"/>
    <x v="0"/>
    <x v="4"/>
    <x v="4"/>
  </r>
  <r>
    <s v="ORD-1838"/>
    <d v="2024-08-21T00:00:00"/>
    <x v="0"/>
    <x v="0"/>
    <n v="7"/>
    <n v="424"/>
    <n v="2968"/>
    <x v="2"/>
    <x v="6"/>
    <x v="6"/>
  </r>
  <r>
    <s v="ORD-1839"/>
    <d v="2024-08-03T00:00:00"/>
    <x v="2"/>
    <x v="0"/>
    <n v="8"/>
    <n v="834"/>
    <n v="6672"/>
    <x v="0"/>
    <x v="6"/>
    <x v="6"/>
  </r>
  <r>
    <s v="ORD-1840"/>
    <d v="2024-01-31T00:00:00"/>
    <x v="0"/>
    <x v="0"/>
    <n v="3"/>
    <n v="727"/>
    <n v="2181"/>
    <x v="0"/>
    <x v="2"/>
    <x v="2"/>
  </r>
  <r>
    <s v="ORD-1841"/>
    <d v="2024-09-04T00:00:00"/>
    <x v="0"/>
    <x v="0"/>
    <n v="7"/>
    <n v="619"/>
    <n v="4333"/>
    <x v="3"/>
    <x v="11"/>
    <x v="11"/>
  </r>
  <r>
    <s v="ORD-1842"/>
    <d v="2024-07-02T00:00:00"/>
    <x v="4"/>
    <x v="0"/>
    <n v="10"/>
    <n v="403"/>
    <n v="4030"/>
    <x v="1"/>
    <x v="5"/>
    <x v="5"/>
  </r>
  <r>
    <s v="ORD-1843"/>
    <d v="2024-02-27T00:00:00"/>
    <x v="4"/>
    <x v="0"/>
    <n v="8"/>
    <n v="514"/>
    <n v="4112"/>
    <x v="3"/>
    <x v="1"/>
    <x v="1"/>
  </r>
  <r>
    <s v="ORD-1844"/>
    <d v="2024-05-13T00:00:00"/>
    <x v="6"/>
    <x v="1"/>
    <n v="1"/>
    <n v="79"/>
    <n v="79"/>
    <x v="2"/>
    <x v="0"/>
    <x v="0"/>
  </r>
  <r>
    <s v="ORD-1845"/>
    <d v="2024-10-22T00:00:00"/>
    <x v="7"/>
    <x v="1"/>
    <n v="9"/>
    <n v="800"/>
    <n v="7200"/>
    <x v="0"/>
    <x v="3"/>
    <x v="3"/>
  </r>
  <r>
    <s v="ORD-1846"/>
    <d v="2024-12-18T00:00:00"/>
    <x v="5"/>
    <x v="1"/>
    <n v="9"/>
    <n v="550"/>
    <n v="4950"/>
    <x v="1"/>
    <x v="7"/>
    <x v="7"/>
  </r>
  <r>
    <s v="ORD-1847"/>
    <d v="2024-06-26T00:00:00"/>
    <x v="2"/>
    <x v="0"/>
    <n v="4"/>
    <n v="508"/>
    <n v="2032"/>
    <x v="3"/>
    <x v="4"/>
    <x v="4"/>
  </r>
  <r>
    <s v="ORD-1848"/>
    <d v="2024-01-28T00:00:00"/>
    <x v="4"/>
    <x v="0"/>
    <n v="9"/>
    <n v="642"/>
    <n v="5778"/>
    <x v="1"/>
    <x v="2"/>
    <x v="2"/>
  </r>
  <r>
    <s v="ORD-1849"/>
    <d v="2024-08-28T00:00:00"/>
    <x v="4"/>
    <x v="0"/>
    <n v="9"/>
    <n v="884"/>
    <n v="7956"/>
    <x v="3"/>
    <x v="6"/>
    <x v="6"/>
  </r>
  <r>
    <s v="ORD-1850"/>
    <d v="2024-09-08T00:00:00"/>
    <x v="4"/>
    <x v="0"/>
    <n v="2"/>
    <n v="784"/>
    <n v="1568"/>
    <x v="2"/>
    <x v="11"/>
    <x v="11"/>
  </r>
  <r>
    <s v="ORD-1851"/>
    <d v="2024-01-26T00:00:00"/>
    <x v="1"/>
    <x v="1"/>
    <n v="6"/>
    <n v="299"/>
    <n v="1794"/>
    <x v="0"/>
    <x v="2"/>
    <x v="2"/>
  </r>
  <r>
    <s v="ORD-1852"/>
    <d v="2024-04-30T00:00:00"/>
    <x v="2"/>
    <x v="0"/>
    <n v="7"/>
    <n v="851"/>
    <n v="5957"/>
    <x v="1"/>
    <x v="9"/>
    <x v="9"/>
  </r>
  <r>
    <s v="ORD-1853"/>
    <d v="2024-10-20T00:00:00"/>
    <x v="6"/>
    <x v="1"/>
    <n v="8"/>
    <n v="835"/>
    <n v="6680"/>
    <x v="3"/>
    <x v="3"/>
    <x v="3"/>
  </r>
  <r>
    <s v="ORD-1854"/>
    <d v="2024-06-10T00:00:00"/>
    <x v="0"/>
    <x v="0"/>
    <n v="8"/>
    <n v="472"/>
    <n v="3776"/>
    <x v="1"/>
    <x v="4"/>
    <x v="4"/>
  </r>
  <r>
    <s v="ORD-1856"/>
    <d v="2024-01-01T00:00:00"/>
    <x v="7"/>
    <x v="1"/>
    <n v="9"/>
    <n v="577"/>
    <n v="5193"/>
    <x v="1"/>
    <x v="2"/>
    <x v="2"/>
  </r>
  <r>
    <s v="ORD-1857"/>
    <d v="2024-04-15T00:00:00"/>
    <x v="3"/>
    <x v="0"/>
    <n v="9"/>
    <n v="590"/>
    <n v="5310"/>
    <x v="3"/>
    <x v="9"/>
    <x v="9"/>
  </r>
  <r>
    <s v="ORD-1858"/>
    <d v="2024-01-28T00:00:00"/>
    <x v="5"/>
    <x v="1"/>
    <n v="6"/>
    <n v="860"/>
    <n v="5160"/>
    <x v="0"/>
    <x v="2"/>
    <x v="2"/>
  </r>
  <r>
    <s v="ORD-1859"/>
    <d v="2024-11-13T00:00:00"/>
    <x v="6"/>
    <x v="1"/>
    <n v="6"/>
    <n v="588"/>
    <n v="3528"/>
    <x v="3"/>
    <x v="8"/>
    <x v="8"/>
  </r>
  <r>
    <s v="ORD-1860"/>
    <d v="2024-02-19T00:00:00"/>
    <x v="5"/>
    <x v="1"/>
    <n v="8"/>
    <n v="131"/>
    <n v="1048"/>
    <x v="0"/>
    <x v="1"/>
    <x v="1"/>
  </r>
  <r>
    <s v="ORD-1861"/>
    <d v="2024-11-20T00:00:00"/>
    <x v="7"/>
    <x v="1"/>
    <n v="6"/>
    <n v="378"/>
    <n v="2268"/>
    <x v="2"/>
    <x v="8"/>
    <x v="8"/>
  </r>
  <r>
    <s v="ORD-1862"/>
    <d v="2024-03-25T00:00:00"/>
    <x v="5"/>
    <x v="1"/>
    <n v="2"/>
    <n v="61"/>
    <n v="122"/>
    <x v="3"/>
    <x v="10"/>
    <x v="10"/>
  </r>
  <r>
    <s v="ORD-1863"/>
    <d v="2024-05-10T00:00:00"/>
    <x v="4"/>
    <x v="0"/>
    <n v="7"/>
    <n v="124"/>
    <n v="868"/>
    <x v="0"/>
    <x v="0"/>
    <x v="0"/>
  </r>
  <r>
    <s v="ORD-1864"/>
    <d v="2024-07-20T00:00:00"/>
    <x v="1"/>
    <x v="1"/>
    <n v="2"/>
    <n v="887"/>
    <n v="1774"/>
    <x v="0"/>
    <x v="5"/>
    <x v="5"/>
  </r>
  <r>
    <s v="ORD-1865"/>
    <d v="2024-06-22T00:00:00"/>
    <x v="6"/>
    <x v="1"/>
    <n v="4"/>
    <n v="748"/>
    <n v="2992"/>
    <x v="1"/>
    <x v="4"/>
    <x v="4"/>
  </r>
  <r>
    <s v="ORD-1866"/>
    <d v="2024-12-10T00:00:00"/>
    <x v="2"/>
    <x v="0"/>
    <n v="1"/>
    <n v="663"/>
    <n v="663"/>
    <x v="1"/>
    <x v="7"/>
    <x v="7"/>
  </r>
  <r>
    <s v="ORD-1867"/>
    <d v="2024-10-28T00:00:00"/>
    <x v="6"/>
    <x v="1"/>
    <n v="8"/>
    <n v="689"/>
    <n v="5512"/>
    <x v="0"/>
    <x v="3"/>
    <x v="3"/>
  </r>
  <r>
    <s v="ORD-1868"/>
    <d v="2024-01-25T00:00:00"/>
    <x v="6"/>
    <x v="1"/>
    <n v="1"/>
    <n v="558"/>
    <n v="558"/>
    <x v="3"/>
    <x v="2"/>
    <x v="2"/>
  </r>
  <r>
    <s v="ORD-1869"/>
    <d v="2024-03-31T00:00:00"/>
    <x v="6"/>
    <x v="1"/>
    <n v="9"/>
    <n v="814"/>
    <n v="7326"/>
    <x v="0"/>
    <x v="10"/>
    <x v="10"/>
  </r>
  <r>
    <s v="ORD-1870"/>
    <d v="2024-12-02T00:00:00"/>
    <x v="4"/>
    <x v="0"/>
    <n v="2"/>
    <n v="411"/>
    <n v="822"/>
    <x v="2"/>
    <x v="7"/>
    <x v="7"/>
  </r>
  <r>
    <s v="ORD-1871"/>
    <d v="2024-12-20T00:00:00"/>
    <x v="2"/>
    <x v="0"/>
    <n v="7"/>
    <n v="638"/>
    <n v="4466"/>
    <x v="0"/>
    <x v="7"/>
    <x v="7"/>
  </r>
  <r>
    <s v="ORD-1874"/>
    <d v="2024-04-21T00:00:00"/>
    <x v="5"/>
    <x v="1"/>
    <n v="9"/>
    <n v="662"/>
    <n v="5958"/>
    <x v="0"/>
    <x v="9"/>
    <x v="9"/>
  </r>
  <r>
    <s v="ORD-1875"/>
    <d v="2024-05-28T00:00:00"/>
    <x v="1"/>
    <x v="1"/>
    <n v="10"/>
    <n v="746"/>
    <n v="7460"/>
    <x v="2"/>
    <x v="0"/>
    <x v="0"/>
  </r>
  <r>
    <s v="ORD-1876"/>
    <d v="2024-10-04T00:00:00"/>
    <x v="4"/>
    <x v="0"/>
    <n v="3"/>
    <n v="530"/>
    <n v="1590"/>
    <x v="2"/>
    <x v="3"/>
    <x v="3"/>
  </r>
  <r>
    <s v="ORD-1877"/>
    <d v="2024-09-02T00:00:00"/>
    <x v="0"/>
    <x v="0"/>
    <n v="6"/>
    <n v="590"/>
    <n v="3540"/>
    <x v="3"/>
    <x v="11"/>
    <x v="11"/>
  </r>
  <r>
    <s v="ORD-1878"/>
    <d v="2024-01-07T00:00:00"/>
    <x v="3"/>
    <x v="0"/>
    <n v="7"/>
    <n v="842"/>
    <n v="5894"/>
    <x v="1"/>
    <x v="2"/>
    <x v="2"/>
  </r>
  <r>
    <s v="ORD-1879"/>
    <d v="2024-01-28T00:00:00"/>
    <x v="7"/>
    <x v="1"/>
    <n v="7"/>
    <n v="163"/>
    <n v="1141"/>
    <x v="1"/>
    <x v="2"/>
    <x v="2"/>
  </r>
  <r>
    <s v="ORD-1880"/>
    <d v="2024-03-23T00:00:00"/>
    <x v="1"/>
    <x v="1"/>
    <n v="5"/>
    <n v="783"/>
    <n v="3915"/>
    <x v="2"/>
    <x v="10"/>
    <x v="10"/>
  </r>
  <r>
    <s v="ORD-1881"/>
    <d v="2024-02-01T00:00:00"/>
    <x v="3"/>
    <x v="0"/>
    <n v="3"/>
    <n v="874"/>
    <n v="2622"/>
    <x v="2"/>
    <x v="1"/>
    <x v="1"/>
  </r>
  <r>
    <s v="ORD-1882"/>
    <d v="2024-07-02T00:00:00"/>
    <x v="1"/>
    <x v="1"/>
    <n v="9"/>
    <n v="48"/>
    <n v="432"/>
    <x v="3"/>
    <x v="5"/>
    <x v="5"/>
  </r>
  <r>
    <s v="ORD-1883"/>
    <d v="2024-10-14T00:00:00"/>
    <x v="0"/>
    <x v="0"/>
    <n v="10"/>
    <n v="706"/>
    <n v="7060"/>
    <x v="0"/>
    <x v="3"/>
    <x v="3"/>
  </r>
  <r>
    <s v="ORD-1884"/>
    <d v="2024-12-22T00:00:00"/>
    <x v="2"/>
    <x v="0"/>
    <n v="4"/>
    <n v="538"/>
    <n v="2152"/>
    <x v="2"/>
    <x v="7"/>
    <x v="7"/>
  </r>
  <r>
    <s v="ORD-1885"/>
    <d v="2024-08-01T00:00:00"/>
    <x v="7"/>
    <x v="1"/>
    <n v="7"/>
    <n v="411"/>
    <n v="2877"/>
    <x v="2"/>
    <x v="6"/>
    <x v="6"/>
  </r>
  <r>
    <s v="ORD-1886"/>
    <d v="2024-05-08T00:00:00"/>
    <x v="7"/>
    <x v="1"/>
    <n v="1"/>
    <n v="776"/>
    <n v="776"/>
    <x v="0"/>
    <x v="0"/>
    <x v="0"/>
  </r>
  <r>
    <s v="ORD-1887"/>
    <d v="2024-12-26T00:00:00"/>
    <x v="6"/>
    <x v="1"/>
    <n v="4"/>
    <n v="663"/>
    <n v="2652"/>
    <x v="2"/>
    <x v="7"/>
    <x v="7"/>
  </r>
  <r>
    <s v="ORD-1888"/>
    <d v="2024-08-17T00:00:00"/>
    <x v="1"/>
    <x v="1"/>
    <n v="4"/>
    <n v="316"/>
    <n v="1264"/>
    <x v="0"/>
    <x v="6"/>
    <x v="6"/>
  </r>
  <r>
    <s v="ORD-1889"/>
    <d v="2024-09-20T00:00:00"/>
    <x v="0"/>
    <x v="0"/>
    <n v="3"/>
    <n v="192"/>
    <n v="576"/>
    <x v="1"/>
    <x v="11"/>
    <x v="11"/>
  </r>
  <r>
    <s v="ORD-1890"/>
    <d v="2024-05-22T00:00:00"/>
    <x v="2"/>
    <x v="0"/>
    <n v="1"/>
    <n v="453"/>
    <n v="453"/>
    <x v="2"/>
    <x v="0"/>
    <x v="0"/>
  </r>
  <r>
    <s v="ORD-1891"/>
    <d v="2024-05-10T00:00:00"/>
    <x v="4"/>
    <x v="0"/>
    <n v="3"/>
    <n v="613"/>
    <n v="1839"/>
    <x v="1"/>
    <x v="0"/>
    <x v="0"/>
  </r>
  <r>
    <s v="ORD-1892"/>
    <d v="2024-03-20T00:00:00"/>
    <x v="5"/>
    <x v="1"/>
    <n v="8"/>
    <n v="741"/>
    <n v="5928"/>
    <x v="1"/>
    <x v="10"/>
    <x v="10"/>
  </r>
  <r>
    <s v="ORD-1893"/>
    <d v="2024-01-27T00:00:00"/>
    <x v="4"/>
    <x v="0"/>
    <n v="6"/>
    <n v="626"/>
    <n v="3756"/>
    <x v="2"/>
    <x v="2"/>
    <x v="2"/>
  </r>
  <r>
    <s v="ORD-1894"/>
    <d v="2024-07-02T00:00:00"/>
    <x v="6"/>
    <x v="1"/>
    <n v="10"/>
    <n v="578"/>
    <n v="5780"/>
    <x v="1"/>
    <x v="5"/>
    <x v="5"/>
  </r>
  <r>
    <s v="ORD-1895"/>
    <d v="2024-04-04T00:00:00"/>
    <x v="5"/>
    <x v="1"/>
    <n v="9"/>
    <n v="240"/>
    <n v="2160"/>
    <x v="1"/>
    <x v="9"/>
    <x v="9"/>
  </r>
  <r>
    <s v="ORD-1897"/>
    <d v="2024-04-19T00:00:00"/>
    <x v="0"/>
    <x v="0"/>
    <n v="6"/>
    <n v="241"/>
    <n v="1446"/>
    <x v="2"/>
    <x v="9"/>
    <x v="9"/>
  </r>
  <r>
    <s v="ORD-1898"/>
    <d v="2024-04-21T00:00:00"/>
    <x v="5"/>
    <x v="1"/>
    <n v="6"/>
    <n v="315"/>
    <n v="1890"/>
    <x v="3"/>
    <x v="9"/>
    <x v="9"/>
  </r>
  <r>
    <s v="ORD-1899"/>
    <d v="2024-06-26T00:00:00"/>
    <x v="7"/>
    <x v="1"/>
    <n v="2"/>
    <n v="699"/>
    <n v="1398"/>
    <x v="3"/>
    <x v="4"/>
    <x v="4"/>
  </r>
  <r>
    <s v="ORD-1900"/>
    <d v="2024-05-04T00:00:00"/>
    <x v="1"/>
    <x v="1"/>
    <n v="10"/>
    <n v="651"/>
    <n v="651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18517-AC05-44E1-9C8F-E755EEC737BF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B9:C22" firstHeaderRow="1" firstDataRow="1" firstDataCol="1"/>
  <pivotFields count="10">
    <pivotField showAll="0"/>
    <pivotField numFmtId="14" showAll="0"/>
    <pivotField showAll="0"/>
    <pivotField showAll="0"/>
    <pivotField showAll="0"/>
    <pivotField numFmtId="42" showAll="0"/>
    <pivotField dataField="1" numFmtId="42" showAll="0"/>
    <pivotField showAll="0"/>
    <pivotField showAll="0">
      <items count="13">
        <item x="2"/>
        <item x="1"/>
        <item x="10"/>
        <item x="9"/>
        <item x="0"/>
        <item x="4"/>
        <item x="5"/>
        <item x="6"/>
        <item x="11"/>
        <item x="3"/>
        <item x="8"/>
        <item x="7"/>
        <item t="default"/>
      </items>
    </pivotField>
    <pivotField axis="axisRow" showAll="0">
      <items count="13">
        <item x="2"/>
        <item x="1"/>
        <item x="10"/>
        <item x="9"/>
        <item x="0"/>
        <item x="4"/>
        <item x="5"/>
        <item x="6"/>
        <item x="11"/>
        <item x="3"/>
        <item x="8"/>
        <item x="7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6" baseField="0" baseItem="0" numFmtId="42"/>
  </dataFields>
  <formats count="6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9" type="button" dataOnly="0" labelOnly="1" outline="0" axis="axisRow" fieldPosition="0"/>
    </format>
    <format dxfId="41">
      <pivotArea dataOnly="0" labelOnly="1" fieldPosition="0">
        <references count="1">
          <reference field="9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42BD0-7BC7-4122-BEBF-A3413A748E13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M33:N38" firstHeaderRow="1" firstDataRow="1" firstDataCol="1"/>
  <pivotFields count="10">
    <pivotField showAll="0"/>
    <pivotField numFmtId="14" showAll="0"/>
    <pivotField showAll="0">
      <items count="9">
        <item x="3"/>
        <item x="4"/>
        <item x="7"/>
        <item x="1"/>
        <item x="0"/>
        <item x="5"/>
        <item x="6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2" showAll="0"/>
    <pivotField dataField="1" numFmtId="42"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2"/>
        <item x="1"/>
        <item x="10"/>
        <item x="9"/>
        <item x="0"/>
        <item x="4"/>
        <item x="5"/>
        <item x="6"/>
        <item x="11"/>
        <item x="3"/>
        <item x="8"/>
        <item x="7"/>
        <item t="default"/>
      </items>
    </pivotField>
    <pivotField showAll="0">
      <items count="13">
        <item x="2"/>
        <item x="1"/>
        <item x="10"/>
        <item x="9"/>
        <item x="0"/>
        <item x="4"/>
        <item x="5"/>
        <item x="6"/>
        <item x="11"/>
        <item x="3"/>
        <item x="8"/>
        <item x="7"/>
        <item t="default"/>
      </items>
    </pivotField>
  </pivotFields>
  <rowFields count="1">
    <field x="7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Total Sales" fld="6" baseField="0" baseItem="0" numFmtId="42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1F03E-457F-4364-BC32-98B0A79B6276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">
  <location ref="M9:N18" firstHeaderRow="1" firstDataRow="1" firstDataCol="1"/>
  <pivotFields count="10">
    <pivotField showAll="0"/>
    <pivotField numFmtId="14" showAll="0"/>
    <pivotField axis="axisRow" showAll="0" sortType="descending">
      <items count="9">
        <item x="3"/>
        <item x="4"/>
        <item x="7"/>
        <item x="1"/>
        <item x="0"/>
        <item x="5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/>
    <pivotField numFmtId="42" showAll="0"/>
    <pivotField dataField="1" numFmtId="42" showAll="0"/>
    <pivotField showAll="0"/>
    <pivotField showAll="0">
      <items count="13">
        <item x="2"/>
        <item x="1"/>
        <item x="10"/>
        <item x="9"/>
        <item x="0"/>
        <item x="4"/>
        <item x="5"/>
        <item x="6"/>
        <item x="11"/>
        <item x="3"/>
        <item x="8"/>
        <item x="7"/>
        <item t="default"/>
      </items>
    </pivotField>
    <pivotField showAll="0">
      <items count="13">
        <item x="2"/>
        <item x="1"/>
        <item x="10"/>
        <item x="9"/>
        <item x="0"/>
        <item x="4"/>
        <item x="5"/>
        <item x="6"/>
        <item x="11"/>
        <item x="3"/>
        <item x="8"/>
        <item x="7"/>
        <item t="default"/>
      </items>
    </pivotField>
  </pivotFields>
  <rowFields count="1">
    <field x="2"/>
  </rowFields>
  <rowItems count="9">
    <i>
      <x v="6"/>
    </i>
    <i>
      <x v="1"/>
    </i>
    <i>
      <x v="7"/>
    </i>
    <i>
      <x v="4"/>
    </i>
    <i>
      <x v="5"/>
    </i>
    <i>
      <x/>
    </i>
    <i>
      <x v="3"/>
    </i>
    <i>
      <x v="2"/>
    </i>
    <i t="grand">
      <x/>
    </i>
  </rowItems>
  <colItems count="1">
    <i/>
  </colItems>
  <dataFields count="1">
    <dataField name="Sum of Total Sales" fld="6" baseField="0" baseItem="0" numFmtId="42"/>
  </dataFields>
  <formats count="6">
    <format dxfId="38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2AF57-53EA-4DAE-A7E8-B24332C01C64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B33:C36" firstHeaderRow="1" firstDataRow="1" firstDataCol="1"/>
  <pivotFields count="10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numFmtId="42" showAll="0"/>
    <pivotField dataField="1" numFmtId="42" showAll="0"/>
    <pivotField showAll="0"/>
    <pivotField showAll="0">
      <items count="13">
        <item x="2"/>
        <item x="1"/>
        <item x="10"/>
        <item x="9"/>
        <item x="0"/>
        <item x="4"/>
        <item x="5"/>
        <item x="6"/>
        <item x="11"/>
        <item x="3"/>
        <item x="8"/>
        <item x="7"/>
        <item t="default"/>
      </items>
    </pivotField>
    <pivotField showAll="0">
      <items count="13">
        <item x="2"/>
        <item x="1"/>
        <item x="10"/>
        <item x="9"/>
        <item x="0"/>
        <item x="4"/>
        <item x="5"/>
        <item x="6"/>
        <item x="11"/>
        <item x="3"/>
        <item x="8"/>
        <item x="7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Sales" fld="6" baseField="0" baseItem="0" numFmtId="42"/>
  </dataFields>
  <formats count="6">
    <format dxfId="25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87DF61-8137-4E67-9054-FB99602A0225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Order ID" tableColumnId="1"/>
      <queryTableField id="2" name="Order Date" tableColumnId="2"/>
      <queryTableField id="3" name="Product" tableColumnId="3"/>
      <queryTableField id="4" name="Category" tableColumnId="4"/>
      <queryTableField id="5" name="Quantity" tableColumnId="5"/>
      <queryTableField id="6" name="Unit Price" tableColumnId="6"/>
      <queryTableField id="7" name="Total Sales" tableColumnId="7"/>
      <queryTableField id="8" name="Region" tableColumnId="8"/>
      <queryTableField id="10" dataBound="0" tableColumnId="10"/>
      <queryTableField id="11" dataBound="0" tableColumnId="11"/>
    </queryTableFields>
    <queryTableDeletedFields count="1">
      <deletedField name="Order Date - E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E0DF1-C517-4F5C-9585-56C666618808}" name="Table1_1" displayName="Table1_1" ref="A1:J857" tableType="queryTable" totalsRowShown="0">
  <autoFilter ref="A1:J857" xr:uid="{625E0DF1-C517-4F5C-9585-56C666618808}"/>
  <tableColumns count="10">
    <tableColumn id="1" xr3:uid="{F0288761-D128-4F25-924E-9B77FB4DF6CD}" uniqueName="1" name="Order ID" queryTableFieldId="1" dataDxfId="51"/>
    <tableColumn id="2" xr3:uid="{A2F0532B-A423-461E-8E01-401DD74D0E15}" uniqueName="2" name="Order Date" queryTableFieldId="2" dataDxfId="50"/>
    <tableColumn id="3" xr3:uid="{0E41BDA3-EDE8-498E-9C05-D9F7C6CE29D8}" uniqueName="3" name="Product" queryTableFieldId="3" dataDxfId="49"/>
    <tableColumn id="4" xr3:uid="{5BF5216D-55BB-48C2-8C47-8D6B80E9AA6F}" uniqueName="4" name="Category" queryTableFieldId="4" dataDxfId="48"/>
    <tableColumn id="5" xr3:uid="{535481CE-1A31-45F0-A605-31802E3041BA}" uniqueName="5" name="Quantity" queryTableFieldId="5"/>
    <tableColumn id="6" xr3:uid="{34425C3D-50F1-40B8-93EA-68355D9C5791}" uniqueName="6" name="Unit Price" queryTableFieldId="6" dataCellStyle="Currency [0]"/>
    <tableColumn id="7" xr3:uid="{2CAE1EA2-4C45-4602-B913-4D6433B5B11B}" uniqueName="7" name="Total Sales" queryTableFieldId="7" dataCellStyle="Currency [0]"/>
    <tableColumn id="8" xr3:uid="{FE0F0815-6D61-4FA2-99C3-FEDA5970290B}" uniqueName="8" name="Region" queryTableFieldId="8" dataDxfId="47"/>
    <tableColumn id="10" xr3:uid="{A93FAC3B-88B9-44A0-9429-8C26BFB22A10}" uniqueName="10" name="MonthNum" queryTableFieldId="10" dataDxfId="46">
      <calculatedColumnFormula>MONTH(Table1_1[[#This Row],[Order Date]])</calculatedColumnFormula>
    </tableColumn>
    <tableColumn id="11" xr3:uid="{79E79EF5-861A-4870-8A11-C71D7818DE8E}" uniqueName="11" name="Month (EN)" queryTableFieldId="11" dataDxfId="45">
      <calculatedColumnFormula>TEXT(Table1_1[[#This Row],[Order Date]],"[$-en-US]mmm")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53F6-15D4-42C2-A59C-F0089228079F}">
  <dimension ref="A1:X58"/>
  <sheetViews>
    <sheetView tabSelected="1" zoomScaleNormal="100" zoomScalePageLayoutView="76" workbookViewId="0">
      <selection activeCell="X40" sqref="X40"/>
    </sheetView>
  </sheetViews>
  <sheetFormatPr defaultRowHeight="14.4" x14ac:dyDescent="0.3"/>
  <cols>
    <col min="1" max="1" width="2.21875" customWidth="1"/>
    <col min="2" max="2" width="12.5546875" bestFit="1" customWidth="1"/>
    <col min="3" max="3" width="16.44140625" bestFit="1" customWidth="1"/>
    <col min="12" max="12" width="1.88671875" customWidth="1"/>
    <col min="13" max="13" width="10.77734375" bestFit="1" customWidth="1"/>
    <col min="14" max="14" width="16.44140625" bestFit="1" customWidth="1"/>
    <col min="23" max="23" width="5.21875" customWidth="1"/>
    <col min="24" max="24" width="11.109375" bestFit="1" customWidth="1"/>
    <col min="25" max="25" width="16.44140625" bestFit="1" customWidth="1"/>
    <col min="34" max="34" width="9.88671875" customWidth="1"/>
    <col min="35" max="35" width="10.77734375" bestFit="1" customWidth="1"/>
    <col min="36" max="36" width="16.44140625" bestFit="1" customWidth="1"/>
  </cols>
  <sheetData>
    <row r="1" spans="1:24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3">
      <c r="A7" s="5"/>
      <c r="B7" s="11" t="s">
        <v>1337</v>
      </c>
      <c r="C7" s="11"/>
      <c r="D7" s="11"/>
      <c r="E7" s="11"/>
      <c r="F7" s="11"/>
      <c r="G7" s="11"/>
      <c r="H7" s="11"/>
      <c r="I7" s="11"/>
      <c r="J7" s="11"/>
      <c r="K7" s="11"/>
      <c r="L7" s="5"/>
      <c r="M7" s="4" t="s">
        <v>1340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3">
      <c r="A9" s="5"/>
      <c r="B9" s="8" t="s">
        <v>1338</v>
      </c>
      <c r="C9" s="8" t="s">
        <v>1321</v>
      </c>
      <c r="D9" s="5"/>
      <c r="E9" s="5"/>
      <c r="F9" s="5"/>
      <c r="G9" s="5"/>
      <c r="H9" s="5"/>
      <c r="I9" s="5"/>
      <c r="J9" s="5"/>
      <c r="K9" s="5"/>
      <c r="L9" s="5"/>
      <c r="M9" s="8" t="s">
        <v>2</v>
      </c>
      <c r="N9" s="8" t="s">
        <v>1321</v>
      </c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3">
      <c r="A10" s="5"/>
      <c r="B10" s="9" t="s">
        <v>1325</v>
      </c>
      <c r="C10" s="10">
        <v>230745</v>
      </c>
      <c r="D10" s="5"/>
      <c r="E10" s="5"/>
      <c r="F10" s="5"/>
      <c r="G10" s="5"/>
      <c r="H10" s="5"/>
      <c r="I10" s="5"/>
      <c r="J10" s="5"/>
      <c r="K10" s="5"/>
      <c r="L10" s="5"/>
      <c r="M10" s="9" t="s">
        <v>1282</v>
      </c>
      <c r="N10" s="10">
        <v>324763</v>
      </c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3">
      <c r="A11" s="5"/>
      <c r="B11" s="9" t="s">
        <v>1326</v>
      </c>
      <c r="C11" s="10">
        <v>222770</v>
      </c>
      <c r="D11" s="5"/>
      <c r="E11" s="5"/>
      <c r="F11" s="5"/>
      <c r="G11" s="5"/>
      <c r="H11" s="5"/>
      <c r="I11" s="5"/>
      <c r="J11" s="5"/>
      <c r="K11" s="5"/>
      <c r="L11" s="5"/>
      <c r="M11" s="9" t="s">
        <v>1279</v>
      </c>
      <c r="N11" s="10">
        <v>303522</v>
      </c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3">
      <c r="A12" s="5"/>
      <c r="B12" s="9" t="s">
        <v>1327</v>
      </c>
      <c r="C12" s="10">
        <v>244258</v>
      </c>
      <c r="D12" s="5"/>
      <c r="E12" s="5"/>
      <c r="F12" s="5"/>
      <c r="G12" s="5"/>
      <c r="H12" s="5"/>
      <c r="I12" s="5"/>
      <c r="J12" s="5"/>
      <c r="K12" s="5"/>
      <c r="L12" s="5"/>
      <c r="M12" s="9" t="s">
        <v>1275</v>
      </c>
      <c r="N12" s="10">
        <v>296287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3">
      <c r="A13" s="5"/>
      <c r="B13" s="9" t="s">
        <v>1328</v>
      </c>
      <c r="C13" s="10">
        <v>155617</v>
      </c>
      <c r="D13" s="5"/>
      <c r="E13" s="5"/>
      <c r="F13" s="5"/>
      <c r="G13" s="5"/>
      <c r="H13" s="5"/>
      <c r="I13" s="5"/>
      <c r="J13" s="5"/>
      <c r="K13" s="5"/>
      <c r="L13" s="5"/>
      <c r="M13" s="9" t="s">
        <v>1273</v>
      </c>
      <c r="N13" s="10">
        <v>295446</v>
      </c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3">
      <c r="A14" s="5"/>
      <c r="B14" s="9" t="s">
        <v>1329</v>
      </c>
      <c r="C14" s="10">
        <v>169521</v>
      </c>
      <c r="D14" s="5"/>
      <c r="E14" s="5"/>
      <c r="F14" s="5"/>
      <c r="G14" s="5"/>
      <c r="H14" s="5"/>
      <c r="I14" s="5"/>
      <c r="J14" s="5"/>
      <c r="K14" s="5"/>
      <c r="L14" s="5"/>
      <c r="M14" s="9" t="s">
        <v>1280</v>
      </c>
      <c r="N14" s="10">
        <v>265091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3">
      <c r="A15" s="5"/>
      <c r="B15" s="9" t="s">
        <v>1330</v>
      </c>
      <c r="C15" s="10">
        <v>168227</v>
      </c>
      <c r="D15" s="5"/>
      <c r="E15" s="5"/>
      <c r="F15" s="5"/>
      <c r="G15" s="5"/>
      <c r="H15" s="5"/>
      <c r="I15" s="5"/>
      <c r="J15" s="5"/>
      <c r="K15" s="5"/>
      <c r="L15" s="5"/>
      <c r="M15" s="9" t="s">
        <v>1277</v>
      </c>
      <c r="N15" s="10">
        <v>263340</v>
      </c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3">
      <c r="A16" s="5"/>
      <c r="B16" s="9" t="s">
        <v>1331</v>
      </c>
      <c r="C16" s="10">
        <v>177041</v>
      </c>
      <c r="D16" s="5"/>
      <c r="E16" s="5"/>
      <c r="F16" s="5"/>
      <c r="G16" s="5"/>
      <c r="H16" s="5"/>
      <c r="I16" s="5"/>
      <c r="J16" s="5"/>
      <c r="K16" s="5"/>
      <c r="L16" s="5"/>
      <c r="M16" s="9" t="s">
        <v>1274</v>
      </c>
      <c r="N16" s="10">
        <v>250583</v>
      </c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3">
      <c r="A17" s="5"/>
      <c r="B17" s="9" t="s">
        <v>1332</v>
      </c>
      <c r="C17" s="10">
        <v>156266</v>
      </c>
      <c r="D17" s="5"/>
      <c r="E17" s="5"/>
      <c r="F17" s="5"/>
      <c r="G17" s="5"/>
      <c r="H17" s="5"/>
      <c r="I17" s="5"/>
      <c r="J17" s="5"/>
      <c r="K17" s="5"/>
      <c r="L17" s="5"/>
      <c r="M17" s="9" t="s">
        <v>1276</v>
      </c>
      <c r="N17" s="10">
        <v>200323</v>
      </c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3">
      <c r="A18" s="5"/>
      <c r="B18" s="9" t="s">
        <v>1333</v>
      </c>
      <c r="C18" s="10">
        <v>167809</v>
      </c>
      <c r="D18" s="5"/>
      <c r="E18" s="5"/>
      <c r="F18" s="5"/>
      <c r="G18" s="5"/>
      <c r="H18" s="5"/>
      <c r="I18" s="5"/>
      <c r="J18" s="5"/>
      <c r="K18" s="5"/>
      <c r="L18" s="5"/>
      <c r="M18" s="9" t="s">
        <v>1322</v>
      </c>
      <c r="N18" s="10">
        <v>2199355</v>
      </c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3">
      <c r="A19" s="5"/>
      <c r="B19" s="9" t="s">
        <v>1334</v>
      </c>
      <c r="C19" s="10">
        <v>193837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3">
      <c r="A20" s="5"/>
      <c r="B20" s="9" t="s">
        <v>1335</v>
      </c>
      <c r="C20" s="10">
        <v>119352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x14ac:dyDescent="0.3">
      <c r="A21" s="5"/>
      <c r="B21" s="9" t="s">
        <v>1336</v>
      </c>
      <c r="C21" s="10">
        <v>193912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x14ac:dyDescent="0.3">
      <c r="A22" s="5"/>
      <c r="B22" s="9" t="s">
        <v>1322</v>
      </c>
      <c r="C22" s="10">
        <v>2199355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customHeight="1" x14ac:dyDescent="0.3">
      <c r="A24" s="5"/>
      <c r="B24" s="6"/>
      <c r="C24" s="7"/>
      <c r="D24" s="7"/>
      <c r="E24" s="7"/>
      <c r="F24" s="7"/>
      <c r="G24" s="7"/>
      <c r="H24" s="7"/>
      <c r="I24" s="7"/>
      <c r="J24" s="7"/>
      <c r="K24" s="7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3">
      <c r="A31" s="5"/>
      <c r="B31" s="4" t="s">
        <v>1339</v>
      </c>
      <c r="C31" s="4"/>
      <c r="D31" s="4"/>
      <c r="E31" s="4"/>
      <c r="F31" s="4"/>
      <c r="G31" s="4"/>
      <c r="H31" s="4"/>
      <c r="I31" s="4"/>
      <c r="J31" s="4"/>
      <c r="K31" s="4"/>
      <c r="L31" s="5"/>
      <c r="M31" s="4" t="s">
        <v>1341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3">
      <c r="A33" s="5"/>
      <c r="B33" s="8" t="s">
        <v>3</v>
      </c>
      <c r="C33" s="8" t="s">
        <v>1321</v>
      </c>
      <c r="D33" s="5"/>
      <c r="E33" s="5"/>
      <c r="F33" s="5"/>
      <c r="G33" s="5"/>
      <c r="H33" s="5"/>
      <c r="I33" s="5"/>
      <c r="J33" s="5"/>
      <c r="K33" s="5"/>
      <c r="L33" s="5"/>
      <c r="M33" s="8" t="s">
        <v>7</v>
      </c>
      <c r="N33" s="8" t="s">
        <v>1321</v>
      </c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3">
      <c r="A34" s="5"/>
      <c r="B34" s="9" t="s">
        <v>1289</v>
      </c>
      <c r="C34" s="10">
        <v>1158595</v>
      </c>
      <c r="D34" s="5"/>
      <c r="E34" s="5"/>
      <c r="F34" s="5"/>
      <c r="G34" s="5"/>
      <c r="H34" s="5"/>
      <c r="I34" s="5"/>
      <c r="J34" s="5"/>
      <c r="K34" s="5"/>
      <c r="L34" s="5"/>
      <c r="M34" s="9" t="s">
        <v>1316</v>
      </c>
      <c r="N34" s="10">
        <v>581312</v>
      </c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3">
      <c r="A35" s="5"/>
      <c r="B35" s="9" t="s">
        <v>1290</v>
      </c>
      <c r="C35" s="10">
        <v>1040760</v>
      </c>
      <c r="D35" s="5"/>
      <c r="E35" s="5"/>
      <c r="F35" s="5"/>
      <c r="G35" s="5"/>
      <c r="H35" s="5"/>
      <c r="I35" s="5"/>
      <c r="J35" s="5"/>
      <c r="K35" s="5"/>
      <c r="L35" s="5"/>
      <c r="M35" s="9" t="s">
        <v>1313</v>
      </c>
      <c r="N35" s="10">
        <v>558474</v>
      </c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x14ac:dyDescent="0.3">
      <c r="A36" s="5"/>
      <c r="B36" s="9" t="s">
        <v>1322</v>
      </c>
      <c r="C36" s="10">
        <v>2199355</v>
      </c>
      <c r="D36" s="5"/>
      <c r="E36" s="5"/>
      <c r="F36" s="5"/>
      <c r="G36" s="5"/>
      <c r="H36" s="5"/>
      <c r="I36" s="5"/>
      <c r="J36" s="5"/>
      <c r="K36" s="5"/>
      <c r="L36" s="5"/>
      <c r="M36" s="9" t="s">
        <v>1314</v>
      </c>
      <c r="N36" s="10">
        <v>540121</v>
      </c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9" t="s">
        <v>1315</v>
      </c>
      <c r="N37" s="10">
        <v>519448</v>
      </c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9" t="s">
        <v>1322</v>
      </c>
      <c r="N38" s="10">
        <v>2199355</v>
      </c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x14ac:dyDescent="0.3">
      <c r="A48" s="5"/>
      <c r="B48" s="6"/>
      <c r="C48" s="7"/>
      <c r="D48" s="7"/>
      <c r="E48" s="7"/>
      <c r="F48" s="7"/>
      <c r="G48" s="7"/>
      <c r="H48" s="7"/>
      <c r="I48" s="7"/>
      <c r="J48" s="7"/>
      <c r="K48" s="7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x14ac:dyDescent="0.3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x14ac:dyDescent="0.3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x14ac:dyDescent="0.3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x14ac:dyDescent="0.3">
      <c r="A52" s="5"/>
      <c r="B52" s="7"/>
      <c r="C52" s="7"/>
      <c r="D52" s="7"/>
      <c r="E52" s="7"/>
      <c r="F52" s="7"/>
      <c r="G52" s="7"/>
      <c r="H52" s="7"/>
      <c r="I52" s="7"/>
      <c r="J52" s="7"/>
      <c r="K52" s="7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x14ac:dyDescent="0.3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</sheetData>
  <mergeCells count="8">
    <mergeCell ref="B48:K53"/>
    <mergeCell ref="M7:X7"/>
    <mergeCell ref="M24:X29"/>
    <mergeCell ref="M31:X31"/>
    <mergeCell ref="M48:X53"/>
    <mergeCell ref="B31:K31"/>
    <mergeCell ref="B24:K29"/>
    <mergeCell ref="B7:K7"/>
  </mergeCells>
  <pageMargins left="0.7" right="0.7" top="0.75" bottom="0.75" header="0.3" footer="0.3"/>
  <pageSetup paperSize="9" orientation="portrait" horizontalDpi="0" verticalDpi="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workbookViewId="0">
      <selection activeCell="J13" sqref="J13"/>
    </sheetView>
  </sheetViews>
  <sheetFormatPr defaultColWidth="8.88671875" defaultRowHeight="14.4" x14ac:dyDescent="0.3"/>
  <cols>
    <col min="1" max="1" width="9.33203125" bestFit="1" customWidth="1"/>
    <col min="2" max="2" width="10.5546875" bestFit="1" customWidth="1"/>
    <col min="3" max="3" width="11.33203125" bestFit="1" customWidth="1"/>
    <col min="4" max="4" width="10.77734375" bestFit="1" customWidth="1"/>
    <col min="5" max="5" width="8.33203125" bestFit="1" customWidth="1"/>
    <col min="6" max="6" width="9.109375" bestFit="1" customWidth="1"/>
    <col min="7" max="7" width="9.88671875" bestFit="1" customWidth="1"/>
    <col min="8" max="8" width="6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908</v>
      </c>
      <c r="C2" t="s">
        <v>1273</v>
      </c>
      <c r="D2" t="s">
        <v>1289</v>
      </c>
      <c r="E2">
        <v>1</v>
      </c>
      <c r="F2">
        <v>774</v>
      </c>
      <c r="G2">
        <v>774</v>
      </c>
      <c r="H2" t="s">
        <v>1313</v>
      </c>
    </row>
    <row r="3" spans="1:8" x14ac:dyDescent="0.3">
      <c r="A3" t="s">
        <v>9</v>
      </c>
      <c r="B3" t="s">
        <v>909</v>
      </c>
      <c r="C3" t="s">
        <v>1274</v>
      </c>
      <c r="D3" t="s">
        <v>1290</v>
      </c>
      <c r="E3">
        <v>3</v>
      </c>
      <c r="F3">
        <v>769</v>
      </c>
      <c r="G3">
        <v>2307</v>
      </c>
      <c r="H3" t="s">
        <v>1314</v>
      </c>
    </row>
    <row r="4" spans="1:8" x14ac:dyDescent="0.3">
      <c r="A4" t="s">
        <v>10</v>
      </c>
      <c r="B4" t="s">
        <v>910</v>
      </c>
      <c r="C4" t="s">
        <v>1275</v>
      </c>
      <c r="D4" t="s">
        <v>1289</v>
      </c>
      <c r="E4">
        <v>1</v>
      </c>
      <c r="F4">
        <v>45</v>
      </c>
      <c r="G4">
        <v>45</v>
      </c>
      <c r="H4" t="s">
        <v>1313</v>
      </c>
    </row>
    <row r="5" spans="1:8" x14ac:dyDescent="0.3">
      <c r="A5" t="s">
        <v>11</v>
      </c>
      <c r="B5" t="s">
        <v>911</v>
      </c>
      <c r="C5" t="s">
        <v>1274</v>
      </c>
      <c r="D5" t="s">
        <v>1290</v>
      </c>
      <c r="E5">
        <v>9</v>
      </c>
      <c r="F5">
        <v>631</v>
      </c>
      <c r="G5">
        <v>5679</v>
      </c>
      <c r="H5" t="s">
        <v>1313</v>
      </c>
    </row>
    <row r="6" spans="1:8" x14ac:dyDescent="0.3">
      <c r="A6" t="s">
        <v>12</v>
      </c>
      <c r="B6" t="s">
        <v>912</v>
      </c>
      <c r="C6" t="s">
        <v>1275</v>
      </c>
      <c r="D6" t="s">
        <v>1289</v>
      </c>
      <c r="E6">
        <v>4</v>
      </c>
      <c r="F6">
        <v>474</v>
      </c>
      <c r="G6">
        <v>1896</v>
      </c>
      <c r="H6" t="s">
        <v>1315</v>
      </c>
    </row>
    <row r="7" spans="1:8" x14ac:dyDescent="0.3">
      <c r="A7" t="s">
        <v>13</v>
      </c>
      <c r="B7" t="s">
        <v>913</v>
      </c>
      <c r="C7" t="s">
        <v>1276</v>
      </c>
      <c r="D7" t="s">
        <v>1290</v>
      </c>
      <c r="E7">
        <v>3</v>
      </c>
      <c r="F7">
        <v>729</v>
      </c>
      <c r="H7" t="s">
        <v>1315</v>
      </c>
    </row>
    <row r="8" spans="1:8" x14ac:dyDescent="0.3">
      <c r="A8" t="s">
        <v>14</v>
      </c>
      <c r="B8" t="s">
        <v>914</v>
      </c>
      <c r="C8" t="s">
        <v>1277</v>
      </c>
      <c r="D8" t="s">
        <v>1291</v>
      </c>
      <c r="E8">
        <v>3</v>
      </c>
      <c r="F8">
        <v>235</v>
      </c>
      <c r="G8">
        <v>705</v>
      </c>
      <c r="H8" t="s">
        <v>1314</v>
      </c>
    </row>
    <row r="9" spans="1:8" x14ac:dyDescent="0.3">
      <c r="A9" t="s">
        <v>15</v>
      </c>
      <c r="B9" t="s">
        <v>915</v>
      </c>
      <c r="C9" t="s">
        <v>1278</v>
      </c>
      <c r="D9" t="s">
        <v>1289</v>
      </c>
      <c r="E9">
        <v>7</v>
      </c>
      <c r="F9">
        <v>114</v>
      </c>
      <c r="G9">
        <v>798</v>
      </c>
      <c r="H9" t="s">
        <v>1315</v>
      </c>
    </row>
    <row r="10" spans="1:8" x14ac:dyDescent="0.3">
      <c r="A10" t="s">
        <v>16</v>
      </c>
      <c r="B10" t="s">
        <v>916</v>
      </c>
      <c r="C10" t="s">
        <v>1277</v>
      </c>
      <c r="D10" t="s">
        <v>1289</v>
      </c>
      <c r="E10">
        <v>1</v>
      </c>
      <c r="F10">
        <v>762</v>
      </c>
      <c r="G10">
        <v>762</v>
      </c>
      <c r="H10" t="s">
        <v>1314</v>
      </c>
    </row>
    <row r="11" spans="1:8" x14ac:dyDescent="0.3">
      <c r="A11" t="s">
        <v>17</v>
      </c>
      <c r="B11" t="s">
        <v>917</v>
      </c>
      <c r="C11" t="s">
        <v>1275</v>
      </c>
      <c r="D11" t="s">
        <v>1289</v>
      </c>
      <c r="E11">
        <v>2</v>
      </c>
      <c r="F11">
        <v>580</v>
      </c>
      <c r="G11">
        <v>1160</v>
      </c>
      <c r="H11" t="s">
        <v>1315</v>
      </c>
    </row>
    <row r="12" spans="1:8" x14ac:dyDescent="0.3">
      <c r="A12" t="s">
        <v>18</v>
      </c>
      <c r="B12" t="s">
        <v>918</v>
      </c>
      <c r="C12" t="s">
        <v>1274</v>
      </c>
      <c r="D12" t="s">
        <v>1290</v>
      </c>
      <c r="E12">
        <v>2</v>
      </c>
      <c r="F12">
        <v>61</v>
      </c>
      <c r="G12">
        <v>122</v>
      </c>
      <c r="H12" t="s">
        <v>1313</v>
      </c>
    </row>
    <row r="13" spans="1:8" x14ac:dyDescent="0.3">
      <c r="A13" t="s">
        <v>19</v>
      </c>
      <c r="B13" t="s">
        <v>919</v>
      </c>
      <c r="C13" t="s">
        <v>1277</v>
      </c>
      <c r="D13" t="s">
        <v>1289</v>
      </c>
      <c r="E13">
        <v>2</v>
      </c>
      <c r="F13">
        <v>890</v>
      </c>
      <c r="H13" t="s">
        <v>1314</v>
      </c>
    </row>
    <row r="14" spans="1:8" x14ac:dyDescent="0.3">
      <c r="A14" t="s">
        <v>20</v>
      </c>
      <c r="B14" t="s">
        <v>920</v>
      </c>
      <c r="C14" t="s">
        <v>1275</v>
      </c>
      <c r="D14" t="s">
        <v>1289</v>
      </c>
      <c r="E14">
        <v>5</v>
      </c>
      <c r="F14">
        <v>479</v>
      </c>
      <c r="G14">
        <v>2395</v>
      </c>
      <c r="H14" t="s">
        <v>1315</v>
      </c>
    </row>
    <row r="15" spans="1:8" x14ac:dyDescent="0.3">
      <c r="A15" t="s">
        <v>21</v>
      </c>
      <c r="B15" t="s">
        <v>921</v>
      </c>
      <c r="C15" t="s">
        <v>1279</v>
      </c>
      <c r="D15" t="s">
        <v>1289</v>
      </c>
      <c r="E15">
        <v>6</v>
      </c>
      <c r="F15">
        <v>378</v>
      </c>
      <c r="G15">
        <v>2268</v>
      </c>
      <c r="H15" t="s">
        <v>1315</v>
      </c>
    </row>
    <row r="16" spans="1:8" x14ac:dyDescent="0.3">
      <c r="A16" t="s">
        <v>22</v>
      </c>
      <c r="B16" t="s">
        <v>922</v>
      </c>
      <c r="C16" t="s">
        <v>1273</v>
      </c>
      <c r="D16" t="s">
        <v>1289</v>
      </c>
      <c r="E16">
        <v>10</v>
      </c>
      <c r="F16">
        <v>665</v>
      </c>
      <c r="G16">
        <v>6650</v>
      </c>
      <c r="H16" t="s">
        <v>1313</v>
      </c>
    </row>
    <row r="17" spans="1:8" x14ac:dyDescent="0.3">
      <c r="A17" t="s">
        <v>23</v>
      </c>
      <c r="B17" t="s">
        <v>923</v>
      </c>
      <c r="C17" t="s">
        <v>1279</v>
      </c>
      <c r="D17" t="s">
        <v>1289</v>
      </c>
      <c r="E17">
        <v>8</v>
      </c>
      <c r="F17">
        <v>403</v>
      </c>
      <c r="G17">
        <v>3224</v>
      </c>
      <c r="H17" t="s">
        <v>1313</v>
      </c>
    </row>
    <row r="18" spans="1:8" x14ac:dyDescent="0.3">
      <c r="A18" t="s">
        <v>24</v>
      </c>
      <c r="B18" t="s">
        <v>924</v>
      </c>
      <c r="C18" t="s">
        <v>1280</v>
      </c>
      <c r="D18" t="s">
        <v>1290</v>
      </c>
      <c r="E18">
        <v>1</v>
      </c>
      <c r="F18">
        <v>249</v>
      </c>
      <c r="G18">
        <v>249</v>
      </c>
      <c r="H18" t="s">
        <v>1315</v>
      </c>
    </row>
    <row r="19" spans="1:8" x14ac:dyDescent="0.3">
      <c r="A19" t="s">
        <v>25</v>
      </c>
      <c r="B19" t="s">
        <v>925</v>
      </c>
      <c r="C19" t="s">
        <v>1275</v>
      </c>
      <c r="D19" t="s">
        <v>1291</v>
      </c>
      <c r="E19">
        <v>5</v>
      </c>
      <c r="F19">
        <v>82</v>
      </c>
      <c r="G19">
        <v>410</v>
      </c>
      <c r="H19" t="s">
        <v>1315</v>
      </c>
    </row>
    <row r="20" spans="1:8" x14ac:dyDescent="0.3">
      <c r="A20" t="s">
        <v>26</v>
      </c>
      <c r="B20" t="s">
        <v>926</v>
      </c>
      <c r="C20" t="s">
        <v>1274</v>
      </c>
      <c r="D20" t="s">
        <v>1290</v>
      </c>
      <c r="E20">
        <v>8</v>
      </c>
      <c r="F20">
        <v>420</v>
      </c>
      <c r="G20">
        <v>3360</v>
      </c>
      <c r="H20" t="s">
        <v>1316</v>
      </c>
    </row>
    <row r="21" spans="1:8" x14ac:dyDescent="0.3">
      <c r="A21" t="s">
        <v>27</v>
      </c>
      <c r="B21" t="s">
        <v>927</v>
      </c>
      <c r="C21" t="s">
        <v>1279</v>
      </c>
      <c r="D21" t="s">
        <v>1289</v>
      </c>
      <c r="E21">
        <v>5</v>
      </c>
      <c r="F21">
        <v>157</v>
      </c>
      <c r="G21">
        <v>785</v>
      </c>
      <c r="H21" t="s">
        <v>1315</v>
      </c>
    </row>
    <row r="22" spans="1:8" x14ac:dyDescent="0.3">
      <c r="A22" t="s">
        <v>28</v>
      </c>
      <c r="B22" t="s">
        <v>928</v>
      </c>
      <c r="C22" t="s">
        <v>1275</v>
      </c>
      <c r="D22" t="s">
        <v>1289</v>
      </c>
      <c r="E22">
        <v>10</v>
      </c>
      <c r="F22">
        <v>423</v>
      </c>
      <c r="G22">
        <v>4230</v>
      </c>
      <c r="H22" t="s">
        <v>1313</v>
      </c>
    </row>
    <row r="23" spans="1:8" x14ac:dyDescent="0.3">
      <c r="A23" t="s">
        <v>29</v>
      </c>
      <c r="B23" t="s">
        <v>929</v>
      </c>
      <c r="C23" t="s">
        <v>1279</v>
      </c>
      <c r="D23" t="s">
        <v>1289</v>
      </c>
      <c r="E23">
        <v>9</v>
      </c>
      <c r="F23">
        <v>520</v>
      </c>
      <c r="G23">
        <v>4680</v>
      </c>
      <c r="H23" t="s">
        <v>1314</v>
      </c>
    </row>
    <row r="24" spans="1:8" x14ac:dyDescent="0.3">
      <c r="A24" t="s">
        <v>30</v>
      </c>
      <c r="B24" t="s">
        <v>930</v>
      </c>
      <c r="C24" t="s">
        <v>1273</v>
      </c>
      <c r="D24" t="s">
        <v>1289</v>
      </c>
      <c r="E24">
        <v>3</v>
      </c>
      <c r="F24">
        <v>657</v>
      </c>
      <c r="G24">
        <v>1971</v>
      </c>
      <c r="H24" t="s">
        <v>1316</v>
      </c>
    </row>
    <row r="25" spans="1:8" x14ac:dyDescent="0.3">
      <c r="A25" t="s">
        <v>31</v>
      </c>
      <c r="B25" t="s">
        <v>931</v>
      </c>
      <c r="C25" t="s">
        <v>1273</v>
      </c>
      <c r="D25" t="s">
        <v>1289</v>
      </c>
      <c r="E25">
        <v>7</v>
      </c>
      <c r="F25">
        <v>405</v>
      </c>
      <c r="G25">
        <v>2835</v>
      </c>
      <c r="H25" t="s">
        <v>1316</v>
      </c>
    </row>
    <row r="26" spans="1:8" x14ac:dyDescent="0.3">
      <c r="A26" t="s">
        <v>32</v>
      </c>
      <c r="B26" t="s">
        <v>932</v>
      </c>
      <c r="C26" t="s">
        <v>1281</v>
      </c>
      <c r="D26" t="s">
        <v>1289</v>
      </c>
      <c r="E26">
        <v>9</v>
      </c>
      <c r="F26">
        <v>896</v>
      </c>
      <c r="G26">
        <v>8064</v>
      </c>
      <c r="H26" t="s">
        <v>1314</v>
      </c>
    </row>
    <row r="27" spans="1:8" x14ac:dyDescent="0.3">
      <c r="A27" t="s">
        <v>33</v>
      </c>
      <c r="B27" t="s">
        <v>917</v>
      </c>
      <c r="C27" t="s">
        <v>1281</v>
      </c>
      <c r="D27" t="s">
        <v>1289</v>
      </c>
      <c r="E27">
        <v>6</v>
      </c>
      <c r="F27">
        <v>129</v>
      </c>
      <c r="G27">
        <v>774</v>
      </c>
      <c r="H27" t="s">
        <v>1316</v>
      </c>
    </row>
    <row r="28" spans="1:8" x14ac:dyDescent="0.3">
      <c r="A28" t="s">
        <v>34</v>
      </c>
      <c r="B28" t="s">
        <v>933</v>
      </c>
      <c r="C28" t="s">
        <v>1279</v>
      </c>
      <c r="D28" t="s">
        <v>1289</v>
      </c>
      <c r="E28">
        <v>8</v>
      </c>
      <c r="F28">
        <v>18</v>
      </c>
      <c r="G28">
        <v>144</v>
      </c>
      <c r="H28" t="s">
        <v>1313</v>
      </c>
    </row>
    <row r="29" spans="1:8" x14ac:dyDescent="0.3">
      <c r="A29" t="s">
        <v>35</v>
      </c>
      <c r="B29" t="s">
        <v>934</v>
      </c>
      <c r="C29" t="s">
        <v>1273</v>
      </c>
      <c r="D29" t="s">
        <v>1289</v>
      </c>
      <c r="E29">
        <v>5</v>
      </c>
      <c r="F29">
        <v>876</v>
      </c>
      <c r="G29">
        <v>4380</v>
      </c>
      <c r="H29" t="s">
        <v>1313</v>
      </c>
    </row>
    <row r="30" spans="1:8" x14ac:dyDescent="0.3">
      <c r="A30" t="s">
        <v>36</v>
      </c>
      <c r="B30" t="s">
        <v>935</v>
      </c>
      <c r="C30" t="s">
        <v>1279</v>
      </c>
      <c r="D30" t="s">
        <v>1289</v>
      </c>
      <c r="E30">
        <v>6</v>
      </c>
      <c r="F30">
        <v>795</v>
      </c>
      <c r="G30">
        <v>4770</v>
      </c>
      <c r="H30" t="s">
        <v>1314</v>
      </c>
    </row>
    <row r="31" spans="1:8" x14ac:dyDescent="0.3">
      <c r="A31" t="s">
        <v>37</v>
      </c>
      <c r="B31" t="s">
        <v>936</v>
      </c>
      <c r="C31" t="s">
        <v>1280</v>
      </c>
      <c r="D31" t="s">
        <v>1290</v>
      </c>
      <c r="E31">
        <v>8</v>
      </c>
      <c r="F31">
        <v>34</v>
      </c>
      <c r="G31">
        <v>272</v>
      </c>
      <c r="H31" t="s">
        <v>1315</v>
      </c>
    </row>
    <row r="32" spans="1:8" x14ac:dyDescent="0.3">
      <c r="A32" t="s">
        <v>38</v>
      </c>
      <c r="B32" t="s">
        <v>937</v>
      </c>
      <c r="C32" t="s">
        <v>1277</v>
      </c>
      <c r="D32" t="s">
        <v>1289</v>
      </c>
      <c r="E32">
        <v>4</v>
      </c>
      <c r="F32">
        <v>74</v>
      </c>
      <c r="G32">
        <v>296</v>
      </c>
      <c r="H32" t="s">
        <v>1314</v>
      </c>
    </row>
    <row r="33" spans="1:8" x14ac:dyDescent="0.3">
      <c r="A33" t="s">
        <v>39</v>
      </c>
      <c r="B33" t="s">
        <v>938</v>
      </c>
      <c r="C33" t="s">
        <v>1273</v>
      </c>
      <c r="D33" t="s">
        <v>1289</v>
      </c>
      <c r="E33">
        <v>8</v>
      </c>
      <c r="F33">
        <v>850</v>
      </c>
      <c r="G33">
        <v>6800</v>
      </c>
      <c r="H33" t="s">
        <v>1313</v>
      </c>
    </row>
    <row r="34" spans="1:8" x14ac:dyDescent="0.3">
      <c r="A34" t="s">
        <v>40</v>
      </c>
      <c r="B34" t="s">
        <v>939</v>
      </c>
      <c r="C34" t="s">
        <v>1279</v>
      </c>
      <c r="D34" t="s">
        <v>1289</v>
      </c>
      <c r="E34">
        <v>8</v>
      </c>
      <c r="F34">
        <v>577</v>
      </c>
      <c r="G34">
        <v>4616</v>
      </c>
      <c r="H34" t="s">
        <v>1315</v>
      </c>
    </row>
    <row r="35" spans="1:8" x14ac:dyDescent="0.3">
      <c r="A35" t="s">
        <v>41</v>
      </c>
      <c r="B35" t="s">
        <v>940</v>
      </c>
      <c r="C35" t="s">
        <v>1275</v>
      </c>
      <c r="D35" t="s">
        <v>1289</v>
      </c>
      <c r="E35">
        <v>4</v>
      </c>
      <c r="F35">
        <v>567</v>
      </c>
      <c r="G35">
        <v>2268</v>
      </c>
      <c r="H35" t="s">
        <v>1313</v>
      </c>
    </row>
    <row r="36" spans="1:8" x14ac:dyDescent="0.3">
      <c r="A36" t="s">
        <v>42</v>
      </c>
      <c r="B36" t="s">
        <v>941</v>
      </c>
      <c r="C36" t="s">
        <v>1277</v>
      </c>
      <c r="D36" t="s">
        <v>1289</v>
      </c>
      <c r="E36">
        <v>7</v>
      </c>
      <c r="F36">
        <v>702</v>
      </c>
      <c r="G36">
        <v>4914</v>
      </c>
      <c r="H36" t="s">
        <v>1315</v>
      </c>
    </row>
    <row r="37" spans="1:8" x14ac:dyDescent="0.3">
      <c r="A37" t="s">
        <v>43</v>
      </c>
      <c r="B37" t="s">
        <v>942</v>
      </c>
      <c r="C37" t="s">
        <v>1282</v>
      </c>
      <c r="D37" t="s">
        <v>1290</v>
      </c>
      <c r="E37">
        <v>9</v>
      </c>
      <c r="F37">
        <v>477</v>
      </c>
      <c r="G37">
        <v>4293</v>
      </c>
      <c r="H37" t="s">
        <v>1313</v>
      </c>
    </row>
    <row r="38" spans="1:8" x14ac:dyDescent="0.3">
      <c r="A38" t="s">
        <v>44</v>
      </c>
      <c r="B38" t="s">
        <v>943</v>
      </c>
      <c r="C38" t="s">
        <v>1274</v>
      </c>
      <c r="D38" t="s">
        <v>1290</v>
      </c>
      <c r="E38">
        <v>2</v>
      </c>
      <c r="F38">
        <v>361</v>
      </c>
      <c r="G38">
        <v>722</v>
      </c>
      <c r="H38" t="s">
        <v>1313</v>
      </c>
    </row>
    <row r="39" spans="1:8" x14ac:dyDescent="0.3">
      <c r="A39" t="s">
        <v>45</v>
      </c>
      <c r="B39" t="s">
        <v>944</v>
      </c>
      <c r="C39" t="s">
        <v>1274</v>
      </c>
      <c r="D39" t="s">
        <v>1290</v>
      </c>
      <c r="E39">
        <v>1</v>
      </c>
      <c r="F39">
        <v>87</v>
      </c>
      <c r="G39">
        <v>87</v>
      </c>
      <c r="H39" t="s">
        <v>1314</v>
      </c>
    </row>
    <row r="40" spans="1:8" x14ac:dyDescent="0.3">
      <c r="A40" t="s">
        <v>46</v>
      </c>
      <c r="B40" t="s">
        <v>945</v>
      </c>
      <c r="C40" t="s">
        <v>1274</v>
      </c>
      <c r="D40" t="s">
        <v>1292</v>
      </c>
      <c r="E40">
        <v>2</v>
      </c>
      <c r="F40">
        <v>47</v>
      </c>
      <c r="G40">
        <v>94</v>
      </c>
      <c r="H40" t="s">
        <v>1314</v>
      </c>
    </row>
    <row r="41" spans="1:8" x14ac:dyDescent="0.3">
      <c r="A41" t="s">
        <v>47</v>
      </c>
      <c r="B41" t="s">
        <v>946</v>
      </c>
      <c r="C41" t="s">
        <v>1274</v>
      </c>
      <c r="D41" t="s">
        <v>1290</v>
      </c>
      <c r="E41">
        <v>5</v>
      </c>
      <c r="F41">
        <v>700</v>
      </c>
      <c r="G41">
        <v>3500</v>
      </c>
      <c r="H41" t="s">
        <v>1313</v>
      </c>
    </row>
    <row r="42" spans="1:8" x14ac:dyDescent="0.3">
      <c r="A42" t="s">
        <v>48</v>
      </c>
      <c r="B42" t="s">
        <v>947</v>
      </c>
      <c r="C42" t="s">
        <v>1279</v>
      </c>
      <c r="D42" t="s">
        <v>1289</v>
      </c>
      <c r="E42">
        <v>10</v>
      </c>
      <c r="F42">
        <v>605</v>
      </c>
      <c r="G42">
        <v>6050</v>
      </c>
      <c r="H42" t="s">
        <v>1313</v>
      </c>
    </row>
    <row r="43" spans="1:8" x14ac:dyDescent="0.3">
      <c r="A43" t="s">
        <v>49</v>
      </c>
      <c r="B43" t="s">
        <v>948</v>
      </c>
      <c r="C43" t="s">
        <v>1282</v>
      </c>
      <c r="D43" t="s">
        <v>1290</v>
      </c>
      <c r="E43">
        <v>7</v>
      </c>
      <c r="F43">
        <v>209</v>
      </c>
      <c r="G43">
        <v>1463</v>
      </c>
      <c r="H43" t="s">
        <v>1314</v>
      </c>
    </row>
    <row r="44" spans="1:8" x14ac:dyDescent="0.3">
      <c r="A44" t="s">
        <v>50</v>
      </c>
      <c r="B44" t="s">
        <v>949</v>
      </c>
      <c r="C44" t="s">
        <v>1275</v>
      </c>
      <c r="D44" t="s">
        <v>1289</v>
      </c>
      <c r="E44">
        <v>6</v>
      </c>
      <c r="F44">
        <v>448</v>
      </c>
      <c r="H44" t="s">
        <v>1316</v>
      </c>
    </row>
    <row r="45" spans="1:8" x14ac:dyDescent="0.3">
      <c r="A45" t="s">
        <v>51</v>
      </c>
      <c r="B45" t="s">
        <v>950</v>
      </c>
      <c r="C45" t="s">
        <v>1276</v>
      </c>
      <c r="D45" t="s">
        <v>1290</v>
      </c>
      <c r="E45">
        <v>2</v>
      </c>
      <c r="F45">
        <v>77</v>
      </c>
      <c r="G45">
        <v>154</v>
      </c>
      <c r="H45" t="s">
        <v>1315</v>
      </c>
    </row>
    <row r="46" spans="1:8" x14ac:dyDescent="0.3">
      <c r="A46" t="s">
        <v>52</v>
      </c>
      <c r="B46" t="s">
        <v>951</v>
      </c>
      <c r="C46" t="s">
        <v>1278</v>
      </c>
      <c r="D46" t="s">
        <v>1289</v>
      </c>
      <c r="E46">
        <v>4</v>
      </c>
      <c r="F46">
        <v>211</v>
      </c>
      <c r="G46">
        <v>844</v>
      </c>
      <c r="H46" t="s">
        <v>1316</v>
      </c>
    </row>
    <row r="47" spans="1:8" x14ac:dyDescent="0.3">
      <c r="A47" t="s">
        <v>53</v>
      </c>
      <c r="B47" t="s">
        <v>952</v>
      </c>
      <c r="C47" t="s">
        <v>1279</v>
      </c>
      <c r="D47" t="s">
        <v>1289</v>
      </c>
      <c r="E47">
        <v>7</v>
      </c>
      <c r="F47">
        <v>202</v>
      </c>
      <c r="G47">
        <v>1414</v>
      </c>
      <c r="H47" t="s">
        <v>1316</v>
      </c>
    </row>
    <row r="48" spans="1:8" x14ac:dyDescent="0.3">
      <c r="A48" t="s">
        <v>54</v>
      </c>
      <c r="B48" t="s">
        <v>953</v>
      </c>
      <c r="C48" t="s">
        <v>1274</v>
      </c>
      <c r="D48" t="s">
        <v>1292</v>
      </c>
      <c r="E48">
        <v>2</v>
      </c>
      <c r="F48">
        <v>468</v>
      </c>
      <c r="G48">
        <v>936</v>
      </c>
      <c r="H48" t="s">
        <v>1314</v>
      </c>
    </row>
    <row r="49" spans="1:8" x14ac:dyDescent="0.3">
      <c r="A49" t="s">
        <v>55</v>
      </c>
      <c r="B49" t="s">
        <v>954</v>
      </c>
      <c r="C49" t="s">
        <v>1276</v>
      </c>
      <c r="D49" t="s">
        <v>1290</v>
      </c>
      <c r="E49">
        <v>9</v>
      </c>
      <c r="F49">
        <v>871</v>
      </c>
      <c r="G49">
        <v>7839</v>
      </c>
      <c r="H49" t="s">
        <v>1314</v>
      </c>
    </row>
    <row r="50" spans="1:8" x14ac:dyDescent="0.3">
      <c r="A50" t="s">
        <v>56</v>
      </c>
      <c r="B50" t="s">
        <v>946</v>
      </c>
      <c r="C50" t="s">
        <v>1274</v>
      </c>
      <c r="D50" t="s">
        <v>1290</v>
      </c>
      <c r="E50">
        <v>3</v>
      </c>
      <c r="F50">
        <v>431</v>
      </c>
      <c r="G50">
        <v>1293</v>
      </c>
      <c r="H50" t="s">
        <v>1316</v>
      </c>
    </row>
    <row r="51" spans="1:8" x14ac:dyDescent="0.3">
      <c r="A51" t="s">
        <v>57</v>
      </c>
      <c r="B51" t="s">
        <v>939</v>
      </c>
      <c r="C51" t="s">
        <v>1274</v>
      </c>
      <c r="D51" t="s">
        <v>1290</v>
      </c>
      <c r="E51">
        <v>7</v>
      </c>
      <c r="F51">
        <v>75</v>
      </c>
      <c r="G51">
        <v>525</v>
      </c>
      <c r="H51" t="s">
        <v>1316</v>
      </c>
    </row>
    <row r="52" spans="1:8" x14ac:dyDescent="0.3">
      <c r="A52" t="s">
        <v>58</v>
      </c>
      <c r="B52" t="s">
        <v>955</v>
      </c>
      <c r="C52" t="s">
        <v>1276</v>
      </c>
      <c r="D52" t="s">
        <v>1290</v>
      </c>
      <c r="E52">
        <v>7</v>
      </c>
      <c r="F52">
        <v>286</v>
      </c>
      <c r="G52">
        <v>2002</v>
      </c>
      <c r="H52" t="s">
        <v>1315</v>
      </c>
    </row>
    <row r="53" spans="1:8" x14ac:dyDescent="0.3">
      <c r="A53" t="s">
        <v>59</v>
      </c>
      <c r="B53" t="s">
        <v>956</v>
      </c>
      <c r="C53" t="s">
        <v>1275</v>
      </c>
      <c r="D53" t="s">
        <v>1289</v>
      </c>
      <c r="E53">
        <v>9</v>
      </c>
      <c r="F53">
        <v>692</v>
      </c>
      <c r="G53">
        <v>6228</v>
      </c>
      <c r="H53" t="s">
        <v>1313</v>
      </c>
    </row>
    <row r="54" spans="1:8" x14ac:dyDescent="0.3">
      <c r="A54" t="s">
        <v>60</v>
      </c>
      <c r="B54" t="s">
        <v>957</v>
      </c>
      <c r="C54" t="s">
        <v>1274</v>
      </c>
      <c r="D54" t="s">
        <v>1290</v>
      </c>
      <c r="E54">
        <v>5</v>
      </c>
      <c r="F54">
        <v>237</v>
      </c>
      <c r="G54">
        <v>1185</v>
      </c>
      <c r="H54" t="s">
        <v>1314</v>
      </c>
    </row>
    <row r="55" spans="1:8" x14ac:dyDescent="0.3">
      <c r="A55" t="s">
        <v>61</v>
      </c>
      <c r="B55" t="s">
        <v>958</v>
      </c>
      <c r="C55" t="s">
        <v>1280</v>
      </c>
      <c r="D55" t="s">
        <v>1290</v>
      </c>
      <c r="E55">
        <v>1</v>
      </c>
      <c r="F55">
        <v>66</v>
      </c>
      <c r="G55">
        <v>66</v>
      </c>
      <c r="H55" t="s">
        <v>1316</v>
      </c>
    </row>
    <row r="56" spans="1:8" x14ac:dyDescent="0.3">
      <c r="A56" t="s">
        <v>62</v>
      </c>
      <c r="B56" t="s">
        <v>959</v>
      </c>
      <c r="C56" t="s">
        <v>1279</v>
      </c>
      <c r="D56" t="s">
        <v>1289</v>
      </c>
      <c r="E56">
        <v>1</v>
      </c>
      <c r="F56">
        <v>535</v>
      </c>
      <c r="G56">
        <v>535</v>
      </c>
      <c r="H56" t="s">
        <v>1313</v>
      </c>
    </row>
    <row r="57" spans="1:8" x14ac:dyDescent="0.3">
      <c r="A57" t="s">
        <v>63</v>
      </c>
      <c r="B57" t="s">
        <v>960</v>
      </c>
      <c r="C57" t="s">
        <v>1273</v>
      </c>
      <c r="D57" t="s">
        <v>1291</v>
      </c>
      <c r="E57">
        <v>0</v>
      </c>
      <c r="F57">
        <v>84</v>
      </c>
      <c r="G57">
        <v>840</v>
      </c>
      <c r="H57" t="s">
        <v>1313</v>
      </c>
    </row>
    <row r="58" spans="1:8" x14ac:dyDescent="0.3">
      <c r="A58" t="s">
        <v>64</v>
      </c>
      <c r="B58" t="s">
        <v>927</v>
      </c>
      <c r="C58" t="s">
        <v>1275</v>
      </c>
      <c r="D58" t="s">
        <v>1289</v>
      </c>
      <c r="E58">
        <v>2</v>
      </c>
      <c r="F58">
        <v>598</v>
      </c>
      <c r="G58">
        <v>1196</v>
      </c>
      <c r="H58" t="s">
        <v>1314</v>
      </c>
    </row>
    <row r="59" spans="1:8" x14ac:dyDescent="0.3">
      <c r="A59" t="s">
        <v>65</v>
      </c>
      <c r="B59" t="s">
        <v>961</v>
      </c>
      <c r="C59" t="s">
        <v>1273</v>
      </c>
      <c r="D59" t="s">
        <v>1289</v>
      </c>
      <c r="E59">
        <v>7</v>
      </c>
      <c r="F59">
        <v>688</v>
      </c>
      <c r="G59">
        <v>4816</v>
      </c>
      <c r="H59" t="s">
        <v>1315</v>
      </c>
    </row>
    <row r="60" spans="1:8" x14ac:dyDescent="0.3">
      <c r="A60" t="s">
        <v>66</v>
      </c>
      <c r="B60" t="s">
        <v>962</v>
      </c>
      <c r="C60" t="s">
        <v>1277</v>
      </c>
      <c r="D60" t="s">
        <v>1289</v>
      </c>
      <c r="E60">
        <v>4</v>
      </c>
      <c r="F60">
        <v>700</v>
      </c>
      <c r="G60">
        <v>2800</v>
      </c>
      <c r="H60" t="s">
        <v>1313</v>
      </c>
    </row>
    <row r="61" spans="1:8" x14ac:dyDescent="0.3">
      <c r="A61" t="s">
        <v>67</v>
      </c>
      <c r="B61" t="s">
        <v>963</v>
      </c>
      <c r="C61" t="s">
        <v>1277</v>
      </c>
      <c r="D61" t="s">
        <v>1289</v>
      </c>
      <c r="E61">
        <v>7</v>
      </c>
      <c r="F61">
        <v>149</v>
      </c>
      <c r="G61">
        <v>1043</v>
      </c>
      <c r="H61" t="s">
        <v>1315</v>
      </c>
    </row>
    <row r="62" spans="1:8" x14ac:dyDescent="0.3">
      <c r="A62" t="s">
        <v>68</v>
      </c>
      <c r="B62" t="s">
        <v>964</v>
      </c>
      <c r="C62" t="s">
        <v>1282</v>
      </c>
      <c r="D62" t="s">
        <v>1290</v>
      </c>
      <c r="E62">
        <v>6</v>
      </c>
      <c r="F62">
        <v>784</v>
      </c>
      <c r="G62">
        <v>4704</v>
      </c>
      <c r="H62" t="s">
        <v>1314</v>
      </c>
    </row>
    <row r="63" spans="1:8" x14ac:dyDescent="0.3">
      <c r="A63" t="s">
        <v>69</v>
      </c>
      <c r="B63" t="s">
        <v>965</v>
      </c>
      <c r="C63" t="s">
        <v>1282</v>
      </c>
      <c r="D63" t="s">
        <v>1290</v>
      </c>
      <c r="E63">
        <v>10</v>
      </c>
      <c r="F63">
        <v>591</v>
      </c>
      <c r="G63">
        <v>5910</v>
      </c>
      <c r="H63" t="s">
        <v>1314</v>
      </c>
    </row>
    <row r="64" spans="1:8" x14ac:dyDescent="0.3">
      <c r="A64" t="s">
        <v>70</v>
      </c>
      <c r="B64" t="s">
        <v>966</v>
      </c>
      <c r="C64" t="s">
        <v>1274</v>
      </c>
      <c r="D64" t="s">
        <v>1290</v>
      </c>
      <c r="E64">
        <v>9</v>
      </c>
      <c r="F64">
        <v>286</v>
      </c>
      <c r="G64">
        <v>2574</v>
      </c>
      <c r="H64" t="s">
        <v>1315</v>
      </c>
    </row>
    <row r="65" spans="1:8" x14ac:dyDescent="0.3">
      <c r="A65" t="s">
        <v>71</v>
      </c>
      <c r="B65" t="s">
        <v>967</v>
      </c>
      <c r="C65" t="s">
        <v>1273</v>
      </c>
      <c r="D65" t="s">
        <v>1289</v>
      </c>
      <c r="E65">
        <v>4</v>
      </c>
      <c r="F65">
        <v>393</v>
      </c>
      <c r="G65">
        <v>1572</v>
      </c>
      <c r="H65" t="s">
        <v>1313</v>
      </c>
    </row>
    <row r="66" spans="1:8" x14ac:dyDescent="0.3">
      <c r="A66" t="s">
        <v>72</v>
      </c>
      <c r="B66" t="s">
        <v>968</v>
      </c>
      <c r="C66" t="s">
        <v>1282</v>
      </c>
      <c r="D66" t="s">
        <v>1292</v>
      </c>
      <c r="E66">
        <v>9</v>
      </c>
      <c r="F66">
        <v>735</v>
      </c>
      <c r="G66">
        <v>6615</v>
      </c>
      <c r="H66" t="s">
        <v>1314</v>
      </c>
    </row>
    <row r="67" spans="1:8" x14ac:dyDescent="0.3">
      <c r="A67" t="s">
        <v>73</v>
      </c>
      <c r="B67" t="s">
        <v>969</v>
      </c>
      <c r="C67" t="s">
        <v>1277</v>
      </c>
      <c r="D67" t="s">
        <v>1289</v>
      </c>
      <c r="E67">
        <v>2</v>
      </c>
      <c r="F67">
        <v>152</v>
      </c>
      <c r="G67">
        <v>304</v>
      </c>
      <c r="H67" t="s">
        <v>1314</v>
      </c>
    </row>
    <row r="68" spans="1:8" x14ac:dyDescent="0.3">
      <c r="A68" t="s">
        <v>74</v>
      </c>
      <c r="B68" t="s">
        <v>970</v>
      </c>
      <c r="C68" t="s">
        <v>1273</v>
      </c>
      <c r="D68" t="s">
        <v>1289</v>
      </c>
      <c r="E68">
        <v>9</v>
      </c>
      <c r="F68">
        <v>174</v>
      </c>
      <c r="G68">
        <v>1566</v>
      </c>
      <c r="H68" t="s">
        <v>1315</v>
      </c>
    </row>
    <row r="69" spans="1:8" x14ac:dyDescent="0.3">
      <c r="A69" t="s">
        <v>75</v>
      </c>
      <c r="B69" t="s">
        <v>971</v>
      </c>
      <c r="C69" t="s">
        <v>1283</v>
      </c>
      <c r="D69" t="s">
        <v>1290</v>
      </c>
      <c r="E69">
        <v>6</v>
      </c>
      <c r="F69">
        <v>223</v>
      </c>
      <c r="G69">
        <v>1338</v>
      </c>
      <c r="H69" t="s">
        <v>1315</v>
      </c>
    </row>
    <row r="70" spans="1:8" x14ac:dyDescent="0.3">
      <c r="A70" t="s">
        <v>76</v>
      </c>
      <c r="B70" t="s">
        <v>972</v>
      </c>
      <c r="C70" t="s">
        <v>1282</v>
      </c>
      <c r="D70" t="s">
        <v>1290</v>
      </c>
      <c r="E70">
        <v>5</v>
      </c>
      <c r="F70" t="s">
        <v>1293</v>
      </c>
      <c r="G70">
        <v>4405</v>
      </c>
      <c r="H70" t="s">
        <v>1314</v>
      </c>
    </row>
    <row r="71" spans="1:8" x14ac:dyDescent="0.3">
      <c r="A71" t="s">
        <v>77</v>
      </c>
      <c r="B71" t="s">
        <v>973</v>
      </c>
      <c r="C71" t="s">
        <v>1275</v>
      </c>
      <c r="D71" t="s">
        <v>1289</v>
      </c>
      <c r="E71">
        <v>5</v>
      </c>
      <c r="F71">
        <v>60</v>
      </c>
      <c r="G71">
        <v>300</v>
      </c>
      <c r="H71" t="s">
        <v>1315</v>
      </c>
    </row>
    <row r="72" spans="1:8" x14ac:dyDescent="0.3">
      <c r="A72" t="s">
        <v>78</v>
      </c>
      <c r="B72" t="s">
        <v>974</v>
      </c>
      <c r="C72" t="s">
        <v>1279</v>
      </c>
      <c r="D72" t="s">
        <v>1289</v>
      </c>
      <c r="E72">
        <v>5</v>
      </c>
      <c r="F72">
        <v>180</v>
      </c>
      <c r="G72">
        <v>900</v>
      </c>
      <c r="H72" t="s">
        <v>1316</v>
      </c>
    </row>
    <row r="73" spans="1:8" x14ac:dyDescent="0.3">
      <c r="A73" t="s">
        <v>79</v>
      </c>
      <c r="B73" t="s">
        <v>940</v>
      </c>
      <c r="C73" t="s">
        <v>1276</v>
      </c>
      <c r="D73" t="s">
        <v>1290</v>
      </c>
      <c r="E73">
        <v>2</v>
      </c>
      <c r="F73" t="s">
        <v>1294</v>
      </c>
      <c r="G73">
        <v>184</v>
      </c>
      <c r="H73" t="s">
        <v>1313</v>
      </c>
    </row>
    <row r="74" spans="1:8" x14ac:dyDescent="0.3">
      <c r="A74" t="s">
        <v>80</v>
      </c>
      <c r="B74" t="s">
        <v>975</v>
      </c>
      <c r="C74" t="s">
        <v>1276</v>
      </c>
      <c r="D74" t="s">
        <v>1292</v>
      </c>
      <c r="E74">
        <v>6</v>
      </c>
      <c r="F74">
        <v>611</v>
      </c>
      <c r="G74">
        <v>3666</v>
      </c>
      <c r="H74" t="s">
        <v>1313</v>
      </c>
    </row>
    <row r="75" spans="1:8" x14ac:dyDescent="0.3">
      <c r="A75" t="s">
        <v>81</v>
      </c>
      <c r="B75" t="s">
        <v>976</v>
      </c>
      <c r="C75" t="s">
        <v>1284</v>
      </c>
      <c r="D75" t="s">
        <v>1289</v>
      </c>
      <c r="E75">
        <v>3</v>
      </c>
      <c r="F75">
        <v>57</v>
      </c>
      <c r="G75">
        <v>171</v>
      </c>
      <c r="H75" t="s">
        <v>1315</v>
      </c>
    </row>
    <row r="76" spans="1:8" x14ac:dyDescent="0.3">
      <c r="A76" t="s">
        <v>82</v>
      </c>
      <c r="B76" t="s">
        <v>977</v>
      </c>
      <c r="C76" t="s">
        <v>1276</v>
      </c>
      <c r="D76" t="s">
        <v>1292</v>
      </c>
      <c r="E76">
        <v>6</v>
      </c>
      <c r="F76" t="s">
        <v>1295</v>
      </c>
      <c r="G76">
        <v>1380</v>
      </c>
      <c r="H76" t="s">
        <v>1313</v>
      </c>
    </row>
    <row r="77" spans="1:8" x14ac:dyDescent="0.3">
      <c r="A77" t="s">
        <v>83</v>
      </c>
      <c r="B77" t="s">
        <v>978</v>
      </c>
      <c r="C77" t="s">
        <v>1273</v>
      </c>
      <c r="D77" t="s">
        <v>1291</v>
      </c>
      <c r="E77">
        <v>6</v>
      </c>
      <c r="F77">
        <v>813</v>
      </c>
      <c r="G77">
        <v>4878</v>
      </c>
      <c r="H77" t="s">
        <v>1316</v>
      </c>
    </row>
    <row r="78" spans="1:8" x14ac:dyDescent="0.3">
      <c r="A78" t="s">
        <v>84</v>
      </c>
      <c r="B78" t="s">
        <v>979</v>
      </c>
      <c r="C78" t="s">
        <v>1279</v>
      </c>
      <c r="D78" t="s">
        <v>1289</v>
      </c>
      <c r="E78">
        <v>4</v>
      </c>
      <c r="F78">
        <v>900</v>
      </c>
      <c r="G78">
        <v>3600</v>
      </c>
      <c r="H78" t="s">
        <v>1313</v>
      </c>
    </row>
    <row r="79" spans="1:8" x14ac:dyDescent="0.3">
      <c r="A79" t="s">
        <v>85</v>
      </c>
      <c r="B79" t="s">
        <v>980</v>
      </c>
      <c r="C79" t="s">
        <v>1275</v>
      </c>
      <c r="D79" t="s">
        <v>1289</v>
      </c>
      <c r="E79">
        <v>1</v>
      </c>
      <c r="F79">
        <v>198</v>
      </c>
      <c r="G79">
        <v>198</v>
      </c>
      <c r="H79" t="s">
        <v>1316</v>
      </c>
    </row>
    <row r="80" spans="1:8" x14ac:dyDescent="0.3">
      <c r="A80" t="s">
        <v>86</v>
      </c>
      <c r="B80" t="s">
        <v>981</v>
      </c>
      <c r="C80" t="s">
        <v>1274</v>
      </c>
      <c r="D80" t="s">
        <v>1290</v>
      </c>
      <c r="E80">
        <v>5</v>
      </c>
      <c r="F80">
        <v>178</v>
      </c>
      <c r="G80">
        <v>890</v>
      </c>
      <c r="H80" t="s">
        <v>1314</v>
      </c>
    </row>
    <row r="81" spans="1:8" x14ac:dyDescent="0.3">
      <c r="A81" t="s">
        <v>87</v>
      </c>
      <c r="B81" t="s">
        <v>982</v>
      </c>
      <c r="C81" t="s">
        <v>1275</v>
      </c>
      <c r="D81" t="s">
        <v>1289</v>
      </c>
      <c r="E81">
        <v>1</v>
      </c>
      <c r="F81">
        <v>894</v>
      </c>
      <c r="G81">
        <v>894</v>
      </c>
      <c r="H81" t="s">
        <v>1313</v>
      </c>
    </row>
    <row r="82" spans="1:8" x14ac:dyDescent="0.3">
      <c r="A82" t="s">
        <v>88</v>
      </c>
      <c r="B82" t="s">
        <v>983</v>
      </c>
      <c r="C82" t="s">
        <v>1274</v>
      </c>
      <c r="D82" t="s">
        <v>1290</v>
      </c>
      <c r="E82">
        <v>8</v>
      </c>
      <c r="F82">
        <v>373</v>
      </c>
      <c r="G82">
        <v>2984</v>
      </c>
      <c r="H82" t="s">
        <v>1313</v>
      </c>
    </row>
    <row r="83" spans="1:8" x14ac:dyDescent="0.3">
      <c r="A83" t="s">
        <v>89</v>
      </c>
      <c r="B83" t="s">
        <v>984</v>
      </c>
      <c r="C83" t="s">
        <v>1274</v>
      </c>
      <c r="D83" t="s">
        <v>1290</v>
      </c>
      <c r="E83">
        <v>1</v>
      </c>
      <c r="F83">
        <v>690</v>
      </c>
      <c r="G83">
        <v>690</v>
      </c>
      <c r="H83" t="s">
        <v>1316</v>
      </c>
    </row>
    <row r="84" spans="1:8" x14ac:dyDescent="0.3">
      <c r="A84" t="s">
        <v>90</v>
      </c>
      <c r="B84" t="s">
        <v>985</v>
      </c>
      <c r="C84" t="s">
        <v>1280</v>
      </c>
      <c r="D84" t="s">
        <v>1290</v>
      </c>
      <c r="E84">
        <v>5</v>
      </c>
      <c r="F84">
        <v>900</v>
      </c>
      <c r="G84">
        <v>4500</v>
      </c>
      <c r="H84" t="s">
        <v>1315</v>
      </c>
    </row>
    <row r="85" spans="1:8" x14ac:dyDescent="0.3">
      <c r="A85" t="s">
        <v>91</v>
      </c>
      <c r="B85" t="s">
        <v>986</v>
      </c>
      <c r="C85" t="s">
        <v>1280</v>
      </c>
      <c r="D85" t="s">
        <v>1290</v>
      </c>
      <c r="E85">
        <v>9</v>
      </c>
      <c r="F85">
        <v>424</v>
      </c>
      <c r="G85">
        <v>3816</v>
      </c>
      <c r="H85" t="s">
        <v>1315</v>
      </c>
    </row>
    <row r="86" spans="1:8" x14ac:dyDescent="0.3">
      <c r="A86" t="s">
        <v>92</v>
      </c>
      <c r="B86" t="s">
        <v>987</v>
      </c>
      <c r="C86" t="s">
        <v>1285</v>
      </c>
      <c r="D86" t="s">
        <v>1290</v>
      </c>
      <c r="E86">
        <v>2</v>
      </c>
      <c r="F86">
        <v>282</v>
      </c>
      <c r="G86">
        <v>564</v>
      </c>
      <c r="H86" t="s">
        <v>1315</v>
      </c>
    </row>
    <row r="87" spans="1:8" x14ac:dyDescent="0.3">
      <c r="A87" t="s">
        <v>93</v>
      </c>
      <c r="B87" t="s">
        <v>988</v>
      </c>
      <c r="C87" t="s">
        <v>1276</v>
      </c>
      <c r="D87" t="s">
        <v>1290</v>
      </c>
      <c r="E87">
        <v>2</v>
      </c>
      <c r="F87">
        <v>625</v>
      </c>
      <c r="G87">
        <v>1250</v>
      </c>
      <c r="H87" t="s">
        <v>1315</v>
      </c>
    </row>
    <row r="88" spans="1:8" x14ac:dyDescent="0.3">
      <c r="A88" t="s">
        <v>94</v>
      </c>
      <c r="B88" t="s">
        <v>989</v>
      </c>
      <c r="C88" t="s">
        <v>1280</v>
      </c>
      <c r="D88" t="s">
        <v>1290</v>
      </c>
      <c r="E88">
        <v>7</v>
      </c>
      <c r="F88">
        <v>635</v>
      </c>
      <c r="G88">
        <v>4445</v>
      </c>
      <c r="H88" t="s">
        <v>1314</v>
      </c>
    </row>
    <row r="89" spans="1:8" x14ac:dyDescent="0.3">
      <c r="A89" t="s">
        <v>95</v>
      </c>
      <c r="B89" t="s">
        <v>990</v>
      </c>
      <c r="C89" t="s">
        <v>1275</v>
      </c>
      <c r="D89" t="s">
        <v>1289</v>
      </c>
      <c r="E89">
        <v>10</v>
      </c>
      <c r="F89">
        <v>209</v>
      </c>
      <c r="H89" t="s">
        <v>1314</v>
      </c>
    </row>
    <row r="90" spans="1:8" x14ac:dyDescent="0.3">
      <c r="A90" t="s">
        <v>96</v>
      </c>
      <c r="B90" t="s">
        <v>991</v>
      </c>
      <c r="C90" t="s">
        <v>1275</v>
      </c>
      <c r="D90" t="s">
        <v>1289</v>
      </c>
      <c r="E90">
        <v>1</v>
      </c>
      <c r="F90">
        <v>547</v>
      </c>
      <c r="G90">
        <v>547</v>
      </c>
      <c r="H90" t="s">
        <v>1313</v>
      </c>
    </row>
    <row r="91" spans="1:8" x14ac:dyDescent="0.3">
      <c r="A91" t="s">
        <v>97</v>
      </c>
      <c r="B91" t="s">
        <v>992</v>
      </c>
      <c r="C91" t="s">
        <v>1280</v>
      </c>
      <c r="D91" t="s">
        <v>1292</v>
      </c>
      <c r="E91">
        <v>7</v>
      </c>
      <c r="F91">
        <v>86</v>
      </c>
      <c r="G91">
        <v>602</v>
      </c>
      <c r="H91" t="s">
        <v>1315</v>
      </c>
    </row>
    <row r="92" spans="1:8" x14ac:dyDescent="0.3">
      <c r="A92" t="s">
        <v>98</v>
      </c>
      <c r="B92" t="s">
        <v>993</v>
      </c>
      <c r="C92" t="s">
        <v>1280</v>
      </c>
      <c r="D92" t="s">
        <v>1290</v>
      </c>
      <c r="E92">
        <v>2</v>
      </c>
      <c r="F92">
        <v>752</v>
      </c>
      <c r="G92">
        <v>1504</v>
      </c>
      <c r="H92" t="s">
        <v>1315</v>
      </c>
    </row>
    <row r="93" spans="1:8" x14ac:dyDescent="0.3">
      <c r="A93" t="s">
        <v>99</v>
      </c>
      <c r="B93" t="s">
        <v>994</v>
      </c>
      <c r="C93" t="s">
        <v>1275</v>
      </c>
      <c r="D93" t="s">
        <v>1289</v>
      </c>
      <c r="E93">
        <v>6</v>
      </c>
      <c r="F93">
        <v>427</v>
      </c>
      <c r="G93">
        <v>2562</v>
      </c>
      <c r="H93" t="s">
        <v>1315</v>
      </c>
    </row>
    <row r="94" spans="1:8" x14ac:dyDescent="0.3">
      <c r="A94" t="s">
        <v>100</v>
      </c>
      <c r="B94" t="s">
        <v>992</v>
      </c>
      <c r="C94" t="s">
        <v>1279</v>
      </c>
      <c r="D94" t="s">
        <v>1289</v>
      </c>
      <c r="E94">
        <v>4</v>
      </c>
      <c r="F94">
        <v>445</v>
      </c>
      <c r="G94">
        <v>1780</v>
      </c>
      <c r="H94" t="s">
        <v>1316</v>
      </c>
    </row>
    <row r="95" spans="1:8" x14ac:dyDescent="0.3">
      <c r="A95" t="s">
        <v>101</v>
      </c>
      <c r="B95" t="s">
        <v>968</v>
      </c>
      <c r="C95" t="s">
        <v>1279</v>
      </c>
      <c r="D95" t="s">
        <v>1289</v>
      </c>
      <c r="E95">
        <v>10</v>
      </c>
      <c r="F95">
        <v>597</v>
      </c>
      <c r="G95">
        <v>5970</v>
      </c>
      <c r="H95" t="s">
        <v>1316</v>
      </c>
    </row>
    <row r="96" spans="1:8" x14ac:dyDescent="0.3">
      <c r="A96" t="s">
        <v>102</v>
      </c>
      <c r="B96" t="s">
        <v>921</v>
      </c>
      <c r="C96" t="s">
        <v>1276</v>
      </c>
      <c r="D96" t="s">
        <v>1290</v>
      </c>
      <c r="E96">
        <v>5</v>
      </c>
      <c r="F96">
        <v>308</v>
      </c>
      <c r="G96">
        <v>1540</v>
      </c>
      <c r="H96" t="s">
        <v>1316</v>
      </c>
    </row>
    <row r="97" spans="1:8" x14ac:dyDescent="0.3">
      <c r="A97" t="s">
        <v>103</v>
      </c>
      <c r="B97" t="s">
        <v>974</v>
      </c>
      <c r="C97" t="s">
        <v>1280</v>
      </c>
      <c r="D97" t="s">
        <v>1290</v>
      </c>
      <c r="E97">
        <v>8</v>
      </c>
      <c r="F97">
        <v>467</v>
      </c>
      <c r="G97">
        <v>3736</v>
      </c>
      <c r="H97" t="s">
        <v>1313</v>
      </c>
    </row>
    <row r="98" spans="1:8" x14ac:dyDescent="0.3">
      <c r="A98" t="s">
        <v>104</v>
      </c>
      <c r="B98" t="s">
        <v>995</v>
      </c>
      <c r="C98" t="s">
        <v>1282</v>
      </c>
      <c r="D98" t="s">
        <v>1290</v>
      </c>
      <c r="E98">
        <v>3</v>
      </c>
      <c r="F98">
        <v>689</v>
      </c>
      <c r="G98">
        <v>2067</v>
      </c>
      <c r="H98" t="s">
        <v>1315</v>
      </c>
    </row>
    <row r="99" spans="1:8" x14ac:dyDescent="0.3">
      <c r="A99" t="s">
        <v>105</v>
      </c>
      <c r="B99" t="s">
        <v>996</v>
      </c>
      <c r="C99" t="s">
        <v>1280</v>
      </c>
      <c r="D99" t="s">
        <v>1290</v>
      </c>
      <c r="E99">
        <v>2</v>
      </c>
      <c r="F99">
        <v>853</v>
      </c>
      <c r="G99">
        <v>1706</v>
      </c>
      <c r="H99" t="s">
        <v>1315</v>
      </c>
    </row>
    <row r="100" spans="1:8" x14ac:dyDescent="0.3">
      <c r="A100" t="s">
        <v>106</v>
      </c>
      <c r="B100" t="s">
        <v>997</v>
      </c>
      <c r="C100" t="s">
        <v>1283</v>
      </c>
      <c r="D100" t="s">
        <v>1290</v>
      </c>
      <c r="E100">
        <v>4</v>
      </c>
      <c r="F100">
        <v>165</v>
      </c>
      <c r="G100">
        <v>660</v>
      </c>
      <c r="H100" t="s">
        <v>1314</v>
      </c>
    </row>
    <row r="101" spans="1:8" x14ac:dyDescent="0.3">
      <c r="A101" t="s">
        <v>107</v>
      </c>
      <c r="B101" t="s">
        <v>964</v>
      </c>
      <c r="C101" t="s">
        <v>1274</v>
      </c>
      <c r="D101" t="s">
        <v>1290</v>
      </c>
      <c r="E101">
        <v>8</v>
      </c>
      <c r="F101">
        <v>640</v>
      </c>
      <c r="G101">
        <v>5120</v>
      </c>
      <c r="H101" t="s">
        <v>1316</v>
      </c>
    </row>
    <row r="102" spans="1:8" x14ac:dyDescent="0.3">
      <c r="A102" t="s">
        <v>108</v>
      </c>
      <c r="B102" t="s">
        <v>994</v>
      </c>
      <c r="C102" t="s">
        <v>1275</v>
      </c>
      <c r="D102" t="s">
        <v>1289</v>
      </c>
      <c r="E102">
        <v>10</v>
      </c>
      <c r="F102" t="s">
        <v>1296</v>
      </c>
      <c r="G102">
        <v>2140</v>
      </c>
      <c r="H102" t="s">
        <v>1316</v>
      </c>
    </row>
    <row r="103" spans="1:8" x14ac:dyDescent="0.3">
      <c r="A103" t="s">
        <v>109</v>
      </c>
      <c r="B103" t="s">
        <v>998</v>
      </c>
      <c r="C103" t="s">
        <v>1282</v>
      </c>
      <c r="D103" t="s">
        <v>1290</v>
      </c>
      <c r="E103">
        <v>7</v>
      </c>
      <c r="F103">
        <v>264</v>
      </c>
      <c r="G103">
        <v>1848</v>
      </c>
      <c r="H103" t="s">
        <v>1314</v>
      </c>
    </row>
    <row r="104" spans="1:8" x14ac:dyDescent="0.3">
      <c r="A104" t="s">
        <v>110</v>
      </c>
      <c r="B104" t="s">
        <v>999</v>
      </c>
      <c r="C104" t="s">
        <v>1273</v>
      </c>
      <c r="D104" t="s">
        <v>1289</v>
      </c>
      <c r="E104">
        <v>7</v>
      </c>
      <c r="F104" t="s">
        <v>1297</v>
      </c>
      <c r="G104">
        <v>1673</v>
      </c>
      <c r="H104" t="s">
        <v>1316</v>
      </c>
    </row>
    <row r="105" spans="1:8" x14ac:dyDescent="0.3">
      <c r="A105" t="s">
        <v>111</v>
      </c>
      <c r="B105" t="s">
        <v>1000</v>
      </c>
      <c r="C105" t="s">
        <v>1276</v>
      </c>
      <c r="D105" t="s">
        <v>1290</v>
      </c>
      <c r="E105">
        <v>9</v>
      </c>
      <c r="F105">
        <v>270</v>
      </c>
      <c r="G105">
        <v>2430</v>
      </c>
      <c r="H105" t="s">
        <v>1316</v>
      </c>
    </row>
    <row r="106" spans="1:8" x14ac:dyDescent="0.3">
      <c r="A106" t="s">
        <v>112</v>
      </c>
      <c r="B106" t="s">
        <v>1001</v>
      </c>
      <c r="C106" t="s">
        <v>1279</v>
      </c>
      <c r="D106" t="s">
        <v>1289</v>
      </c>
      <c r="E106">
        <v>8</v>
      </c>
      <c r="F106">
        <v>698</v>
      </c>
      <c r="G106">
        <v>5584</v>
      </c>
      <c r="H106" t="s">
        <v>1315</v>
      </c>
    </row>
    <row r="107" spans="1:8" x14ac:dyDescent="0.3">
      <c r="A107" t="s">
        <v>113</v>
      </c>
      <c r="B107" t="s">
        <v>1002</v>
      </c>
      <c r="C107" t="s">
        <v>1282</v>
      </c>
      <c r="D107" t="s">
        <v>1290</v>
      </c>
      <c r="E107">
        <v>10</v>
      </c>
      <c r="F107">
        <v>849</v>
      </c>
      <c r="G107">
        <v>8490</v>
      </c>
      <c r="H107" t="s">
        <v>1316</v>
      </c>
    </row>
    <row r="108" spans="1:8" x14ac:dyDescent="0.3">
      <c r="A108" t="s">
        <v>114</v>
      </c>
      <c r="B108" t="s">
        <v>1003</v>
      </c>
      <c r="C108" t="s">
        <v>1286</v>
      </c>
      <c r="D108" t="s">
        <v>1290</v>
      </c>
      <c r="E108">
        <v>3</v>
      </c>
      <c r="F108">
        <v>776</v>
      </c>
      <c r="G108">
        <v>2328</v>
      </c>
      <c r="H108" t="s">
        <v>1316</v>
      </c>
    </row>
    <row r="109" spans="1:8" x14ac:dyDescent="0.3">
      <c r="A109" t="s">
        <v>115</v>
      </c>
      <c r="B109" t="s">
        <v>1004</v>
      </c>
      <c r="C109" t="s">
        <v>1277</v>
      </c>
      <c r="D109" t="s">
        <v>1289</v>
      </c>
      <c r="E109">
        <v>4</v>
      </c>
      <c r="F109">
        <v>875</v>
      </c>
      <c r="G109">
        <v>3500</v>
      </c>
      <c r="H109" t="s">
        <v>1315</v>
      </c>
    </row>
    <row r="110" spans="1:8" x14ac:dyDescent="0.3">
      <c r="A110" t="s">
        <v>116</v>
      </c>
      <c r="B110" t="s">
        <v>1005</v>
      </c>
      <c r="C110" t="s">
        <v>1282</v>
      </c>
      <c r="D110" t="s">
        <v>1292</v>
      </c>
      <c r="E110">
        <v>4</v>
      </c>
      <c r="F110">
        <v>296</v>
      </c>
      <c r="G110">
        <v>1184</v>
      </c>
      <c r="H110" t="s">
        <v>1314</v>
      </c>
    </row>
    <row r="111" spans="1:8" x14ac:dyDescent="0.3">
      <c r="A111" t="s">
        <v>117</v>
      </c>
      <c r="B111" t="s">
        <v>1006</v>
      </c>
      <c r="C111" t="s">
        <v>1277</v>
      </c>
      <c r="D111" t="s">
        <v>1289</v>
      </c>
      <c r="E111">
        <v>4</v>
      </c>
      <c r="F111">
        <v>293</v>
      </c>
      <c r="G111">
        <v>1172</v>
      </c>
      <c r="H111" t="s">
        <v>1315</v>
      </c>
    </row>
    <row r="112" spans="1:8" x14ac:dyDescent="0.3">
      <c r="A112" t="s">
        <v>118</v>
      </c>
      <c r="B112" t="s">
        <v>1007</v>
      </c>
      <c r="C112" t="s">
        <v>1273</v>
      </c>
      <c r="D112" t="s">
        <v>1289</v>
      </c>
      <c r="E112">
        <v>3</v>
      </c>
      <c r="F112">
        <v>169</v>
      </c>
      <c r="G112">
        <v>507</v>
      </c>
      <c r="H112" t="s">
        <v>1316</v>
      </c>
    </row>
    <row r="113" spans="1:8" x14ac:dyDescent="0.3">
      <c r="A113" t="s">
        <v>119</v>
      </c>
      <c r="B113" t="s">
        <v>1008</v>
      </c>
      <c r="C113" t="s">
        <v>1279</v>
      </c>
      <c r="D113" t="s">
        <v>1289</v>
      </c>
      <c r="E113">
        <v>4</v>
      </c>
      <c r="F113">
        <v>80</v>
      </c>
      <c r="G113">
        <v>320</v>
      </c>
      <c r="H113" t="s">
        <v>1316</v>
      </c>
    </row>
    <row r="114" spans="1:8" x14ac:dyDescent="0.3">
      <c r="A114" t="s">
        <v>120</v>
      </c>
      <c r="B114" t="s">
        <v>1008</v>
      </c>
      <c r="C114" t="s">
        <v>1280</v>
      </c>
      <c r="D114" t="s">
        <v>1290</v>
      </c>
      <c r="E114">
        <v>9</v>
      </c>
      <c r="F114">
        <v>492</v>
      </c>
      <c r="G114">
        <v>4428</v>
      </c>
      <c r="H114" t="s">
        <v>1314</v>
      </c>
    </row>
    <row r="115" spans="1:8" x14ac:dyDescent="0.3">
      <c r="A115" t="s">
        <v>121</v>
      </c>
      <c r="B115" t="s">
        <v>958</v>
      </c>
      <c r="C115" t="s">
        <v>1274</v>
      </c>
      <c r="D115" t="s">
        <v>1290</v>
      </c>
      <c r="E115">
        <v>7</v>
      </c>
      <c r="F115">
        <v>413</v>
      </c>
      <c r="G115">
        <v>2891</v>
      </c>
      <c r="H115" t="s">
        <v>1314</v>
      </c>
    </row>
    <row r="116" spans="1:8" x14ac:dyDescent="0.3">
      <c r="A116" t="s">
        <v>122</v>
      </c>
      <c r="B116" t="s">
        <v>1009</v>
      </c>
      <c r="C116" t="s">
        <v>1275</v>
      </c>
      <c r="D116" t="s">
        <v>1289</v>
      </c>
      <c r="E116">
        <v>8</v>
      </c>
      <c r="F116">
        <v>21</v>
      </c>
      <c r="G116">
        <v>168</v>
      </c>
      <c r="H116" t="s">
        <v>1315</v>
      </c>
    </row>
    <row r="117" spans="1:8" x14ac:dyDescent="0.3">
      <c r="A117" t="s">
        <v>123</v>
      </c>
      <c r="B117" t="s">
        <v>1010</v>
      </c>
      <c r="C117" t="s">
        <v>1275</v>
      </c>
      <c r="D117" t="s">
        <v>1289</v>
      </c>
      <c r="E117">
        <v>7</v>
      </c>
      <c r="F117">
        <v>566</v>
      </c>
      <c r="G117">
        <v>3962</v>
      </c>
      <c r="H117" t="s">
        <v>1313</v>
      </c>
    </row>
    <row r="118" spans="1:8" x14ac:dyDescent="0.3">
      <c r="A118" t="s">
        <v>124</v>
      </c>
      <c r="B118" t="s">
        <v>1011</v>
      </c>
      <c r="C118" t="s">
        <v>1286</v>
      </c>
      <c r="D118" t="s">
        <v>1290</v>
      </c>
      <c r="E118">
        <v>4</v>
      </c>
      <c r="F118">
        <v>294</v>
      </c>
      <c r="G118">
        <v>1176</v>
      </c>
      <c r="H118" t="s">
        <v>1316</v>
      </c>
    </row>
    <row r="119" spans="1:8" x14ac:dyDescent="0.3">
      <c r="A119" t="s">
        <v>125</v>
      </c>
      <c r="B119" t="s">
        <v>1012</v>
      </c>
      <c r="C119" t="s">
        <v>1276</v>
      </c>
      <c r="D119" t="s">
        <v>1290</v>
      </c>
      <c r="E119">
        <v>0</v>
      </c>
      <c r="F119">
        <v>359</v>
      </c>
      <c r="G119">
        <v>2513</v>
      </c>
      <c r="H119" t="s">
        <v>1316</v>
      </c>
    </row>
    <row r="120" spans="1:8" x14ac:dyDescent="0.3">
      <c r="A120" t="s">
        <v>126</v>
      </c>
      <c r="B120" t="s">
        <v>1013</v>
      </c>
      <c r="C120" t="s">
        <v>1279</v>
      </c>
      <c r="D120" t="s">
        <v>1289</v>
      </c>
      <c r="E120">
        <v>8</v>
      </c>
      <c r="F120">
        <v>145</v>
      </c>
      <c r="G120">
        <v>1160</v>
      </c>
      <c r="H120" t="s">
        <v>1314</v>
      </c>
    </row>
    <row r="121" spans="1:8" x14ac:dyDescent="0.3">
      <c r="A121" t="s">
        <v>127</v>
      </c>
      <c r="B121" t="s">
        <v>1014</v>
      </c>
      <c r="C121" t="s">
        <v>1275</v>
      </c>
      <c r="D121" t="s">
        <v>1289</v>
      </c>
      <c r="E121">
        <v>10</v>
      </c>
      <c r="F121">
        <v>592</v>
      </c>
      <c r="G121">
        <v>5920</v>
      </c>
      <c r="H121" t="s">
        <v>1314</v>
      </c>
    </row>
    <row r="122" spans="1:8" x14ac:dyDescent="0.3">
      <c r="A122" t="s">
        <v>128</v>
      </c>
      <c r="B122" t="s">
        <v>1015</v>
      </c>
      <c r="C122" t="s">
        <v>1273</v>
      </c>
      <c r="D122" t="s">
        <v>1289</v>
      </c>
      <c r="E122">
        <v>7</v>
      </c>
      <c r="F122">
        <v>153</v>
      </c>
      <c r="G122">
        <v>1071</v>
      </c>
      <c r="H122" t="s">
        <v>1313</v>
      </c>
    </row>
    <row r="123" spans="1:8" x14ac:dyDescent="0.3">
      <c r="A123" t="s">
        <v>129</v>
      </c>
      <c r="B123" t="s">
        <v>1016</v>
      </c>
      <c r="C123" t="s">
        <v>1276</v>
      </c>
      <c r="D123" t="s">
        <v>1292</v>
      </c>
      <c r="E123">
        <v>5</v>
      </c>
      <c r="F123">
        <v>403</v>
      </c>
      <c r="G123">
        <v>2015</v>
      </c>
      <c r="H123" t="s">
        <v>1313</v>
      </c>
    </row>
    <row r="124" spans="1:8" x14ac:dyDescent="0.3">
      <c r="A124" t="s">
        <v>130</v>
      </c>
      <c r="B124" t="s">
        <v>1017</v>
      </c>
      <c r="C124" t="s">
        <v>1282</v>
      </c>
      <c r="D124" t="s">
        <v>1290</v>
      </c>
      <c r="E124">
        <v>6</v>
      </c>
      <c r="F124">
        <v>360</v>
      </c>
      <c r="G124">
        <v>2160</v>
      </c>
      <c r="H124" t="s">
        <v>1315</v>
      </c>
    </row>
    <row r="125" spans="1:8" x14ac:dyDescent="0.3">
      <c r="A125" t="s">
        <v>131</v>
      </c>
      <c r="B125" t="s">
        <v>959</v>
      </c>
      <c r="C125" t="s">
        <v>1275</v>
      </c>
      <c r="D125" t="s">
        <v>1289</v>
      </c>
      <c r="E125">
        <v>5</v>
      </c>
      <c r="F125">
        <v>869</v>
      </c>
      <c r="G125">
        <v>4345</v>
      </c>
      <c r="H125" t="s">
        <v>1316</v>
      </c>
    </row>
    <row r="126" spans="1:8" x14ac:dyDescent="0.3">
      <c r="A126" t="s">
        <v>132</v>
      </c>
      <c r="B126" t="s">
        <v>1018</v>
      </c>
      <c r="C126" t="s">
        <v>1276</v>
      </c>
      <c r="D126" t="s">
        <v>1290</v>
      </c>
      <c r="E126">
        <v>9</v>
      </c>
      <c r="F126">
        <v>68</v>
      </c>
      <c r="G126">
        <v>612</v>
      </c>
      <c r="H126" t="s">
        <v>1313</v>
      </c>
    </row>
    <row r="127" spans="1:8" x14ac:dyDescent="0.3">
      <c r="A127" t="s">
        <v>133</v>
      </c>
      <c r="B127" t="s">
        <v>1019</v>
      </c>
      <c r="C127" t="s">
        <v>1273</v>
      </c>
      <c r="D127" t="s">
        <v>1289</v>
      </c>
      <c r="E127">
        <v>1</v>
      </c>
      <c r="F127">
        <v>787</v>
      </c>
      <c r="G127">
        <v>787</v>
      </c>
      <c r="H127" t="s">
        <v>1313</v>
      </c>
    </row>
    <row r="128" spans="1:8" x14ac:dyDescent="0.3">
      <c r="A128" t="s">
        <v>134</v>
      </c>
      <c r="B128" t="s">
        <v>1020</v>
      </c>
      <c r="C128" t="s">
        <v>1274</v>
      </c>
      <c r="D128" t="s">
        <v>1290</v>
      </c>
      <c r="E128">
        <v>1</v>
      </c>
      <c r="F128">
        <v>651</v>
      </c>
      <c r="H128" t="s">
        <v>1313</v>
      </c>
    </row>
    <row r="129" spans="1:8" x14ac:dyDescent="0.3">
      <c r="A129" t="s">
        <v>135</v>
      </c>
      <c r="B129" t="s">
        <v>1021</v>
      </c>
      <c r="C129" t="s">
        <v>1279</v>
      </c>
      <c r="D129" t="s">
        <v>1289</v>
      </c>
      <c r="E129">
        <v>8</v>
      </c>
      <c r="F129">
        <v>700</v>
      </c>
      <c r="G129">
        <v>5600</v>
      </c>
      <c r="H129" t="s">
        <v>1313</v>
      </c>
    </row>
    <row r="130" spans="1:8" x14ac:dyDescent="0.3">
      <c r="A130" t="s">
        <v>136</v>
      </c>
      <c r="B130" t="s">
        <v>1022</v>
      </c>
      <c r="C130" t="s">
        <v>1282</v>
      </c>
      <c r="D130" t="s">
        <v>1290</v>
      </c>
      <c r="E130">
        <v>5</v>
      </c>
      <c r="F130">
        <v>800</v>
      </c>
      <c r="G130">
        <v>4000</v>
      </c>
      <c r="H130" t="s">
        <v>1313</v>
      </c>
    </row>
    <row r="131" spans="1:8" x14ac:dyDescent="0.3">
      <c r="A131" t="s">
        <v>137</v>
      </c>
      <c r="B131" t="s">
        <v>1023</v>
      </c>
      <c r="C131" t="s">
        <v>1273</v>
      </c>
      <c r="D131" t="s">
        <v>1289</v>
      </c>
      <c r="E131">
        <v>3</v>
      </c>
      <c r="F131">
        <v>333</v>
      </c>
      <c r="G131">
        <v>999</v>
      </c>
      <c r="H131" t="s">
        <v>1314</v>
      </c>
    </row>
    <row r="132" spans="1:8" x14ac:dyDescent="0.3">
      <c r="A132" t="s">
        <v>138</v>
      </c>
      <c r="B132" t="s">
        <v>1024</v>
      </c>
      <c r="C132" t="s">
        <v>1277</v>
      </c>
      <c r="D132" t="s">
        <v>1289</v>
      </c>
      <c r="E132">
        <v>10</v>
      </c>
      <c r="F132">
        <v>708</v>
      </c>
      <c r="G132">
        <v>7080</v>
      </c>
      <c r="H132" t="s">
        <v>1316</v>
      </c>
    </row>
    <row r="133" spans="1:8" x14ac:dyDescent="0.3">
      <c r="A133" t="s">
        <v>139</v>
      </c>
      <c r="B133" t="s">
        <v>940</v>
      </c>
      <c r="C133" t="s">
        <v>1274</v>
      </c>
      <c r="D133" t="s">
        <v>1290</v>
      </c>
      <c r="E133">
        <v>2</v>
      </c>
      <c r="F133" t="s">
        <v>1298</v>
      </c>
      <c r="G133">
        <v>1242</v>
      </c>
      <c r="H133" t="s">
        <v>1313</v>
      </c>
    </row>
    <row r="134" spans="1:8" x14ac:dyDescent="0.3">
      <c r="A134" t="s">
        <v>140</v>
      </c>
      <c r="B134" t="s">
        <v>1025</v>
      </c>
      <c r="C134" t="s">
        <v>1273</v>
      </c>
      <c r="D134" t="s">
        <v>1289</v>
      </c>
      <c r="E134">
        <v>5</v>
      </c>
      <c r="F134">
        <v>885</v>
      </c>
      <c r="G134">
        <v>4425</v>
      </c>
      <c r="H134" t="s">
        <v>1314</v>
      </c>
    </row>
    <row r="135" spans="1:8" x14ac:dyDescent="0.3">
      <c r="A135" t="s">
        <v>141</v>
      </c>
      <c r="B135" t="s">
        <v>1026</v>
      </c>
      <c r="C135" t="s">
        <v>1276</v>
      </c>
      <c r="D135" t="s">
        <v>1290</v>
      </c>
      <c r="E135">
        <v>6</v>
      </c>
      <c r="F135">
        <v>560</v>
      </c>
      <c r="G135">
        <v>3360</v>
      </c>
      <c r="H135" t="s">
        <v>1315</v>
      </c>
    </row>
    <row r="136" spans="1:8" x14ac:dyDescent="0.3">
      <c r="A136" t="s">
        <v>142</v>
      </c>
      <c r="B136" t="s">
        <v>1027</v>
      </c>
      <c r="C136" t="s">
        <v>1273</v>
      </c>
      <c r="D136" t="s">
        <v>1289</v>
      </c>
      <c r="E136">
        <v>9</v>
      </c>
      <c r="F136">
        <v>678</v>
      </c>
      <c r="G136">
        <v>6102</v>
      </c>
      <c r="H136" t="s">
        <v>1314</v>
      </c>
    </row>
    <row r="137" spans="1:8" x14ac:dyDescent="0.3">
      <c r="A137" t="s">
        <v>143</v>
      </c>
      <c r="B137" t="s">
        <v>1028</v>
      </c>
      <c r="C137" t="s">
        <v>1275</v>
      </c>
      <c r="D137" t="s">
        <v>1289</v>
      </c>
      <c r="E137">
        <v>8</v>
      </c>
      <c r="F137">
        <v>123</v>
      </c>
      <c r="G137">
        <v>984</v>
      </c>
      <c r="H137" t="s">
        <v>1315</v>
      </c>
    </row>
    <row r="138" spans="1:8" x14ac:dyDescent="0.3">
      <c r="A138" t="s">
        <v>144</v>
      </c>
      <c r="B138" t="s">
        <v>999</v>
      </c>
      <c r="C138" t="s">
        <v>1282</v>
      </c>
      <c r="D138" t="s">
        <v>1290</v>
      </c>
      <c r="E138">
        <v>3</v>
      </c>
      <c r="F138">
        <v>460</v>
      </c>
      <c r="G138">
        <v>1380</v>
      </c>
      <c r="H138" t="s">
        <v>1315</v>
      </c>
    </row>
    <row r="139" spans="1:8" x14ac:dyDescent="0.3">
      <c r="A139" t="s">
        <v>145</v>
      </c>
      <c r="B139" t="s">
        <v>1029</v>
      </c>
      <c r="C139" t="s">
        <v>1282</v>
      </c>
      <c r="D139" t="s">
        <v>1290</v>
      </c>
      <c r="E139">
        <v>8</v>
      </c>
      <c r="F139">
        <v>461</v>
      </c>
      <c r="G139">
        <v>3688</v>
      </c>
      <c r="H139" t="s">
        <v>1315</v>
      </c>
    </row>
    <row r="140" spans="1:8" x14ac:dyDescent="0.3">
      <c r="A140" t="s">
        <v>146</v>
      </c>
      <c r="B140" t="s">
        <v>1030</v>
      </c>
      <c r="C140" t="s">
        <v>1280</v>
      </c>
      <c r="D140" t="s">
        <v>1290</v>
      </c>
      <c r="E140">
        <v>4</v>
      </c>
      <c r="F140">
        <v>865</v>
      </c>
      <c r="G140">
        <v>3460</v>
      </c>
      <c r="H140" t="s">
        <v>1315</v>
      </c>
    </row>
    <row r="141" spans="1:8" x14ac:dyDescent="0.3">
      <c r="A141" t="s">
        <v>147</v>
      </c>
      <c r="B141" t="s">
        <v>1031</v>
      </c>
      <c r="C141" t="s">
        <v>1282</v>
      </c>
      <c r="D141" t="s">
        <v>1290</v>
      </c>
      <c r="E141">
        <v>4</v>
      </c>
      <c r="F141">
        <v>783</v>
      </c>
      <c r="G141">
        <v>3132</v>
      </c>
      <c r="H141" t="s">
        <v>1316</v>
      </c>
    </row>
    <row r="142" spans="1:8" x14ac:dyDescent="0.3">
      <c r="A142" t="s">
        <v>148</v>
      </c>
      <c r="B142" t="s">
        <v>1032</v>
      </c>
      <c r="C142" t="s">
        <v>1280</v>
      </c>
      <c r="D142" t="s">
        <v>1290</v>
      </c>
      <c r="E142">
        <v>1</v>
      </c>
      <c r="F142">
        <v>521</v>
      </c>
      <c r="G142">
        <v>521</v>
      </c>
      <c r="H142" t="s">
        <v>1313</v>
      </c>
    </row>
    <row r="143" spans="1:8" x14ac:dyDescent="0.3">
      <c r="A143" t="s">
        <v>149</v>
      </c>
      <c r="B143" t="s">
        <v>1033</v>
      </c>
      <c r="C143" t="s">
        <v>1282</v>
      </c>
      <c r="D143" t="s">
        <v>1290</v>
      </c>
      <c r="E143">
        <v>4</v>
      </c>
      <c r="F143">
        <v>378</v>
      </c>
      <c r="G143">
        <v>1512</v>
      </c>
      <c r="H143" t="s">
        <v>1315</v>
      </c>
    </row>
    <row r="144" spans="1:8" x14ac:dyDescent="0.3">
      <c r="A144" t="s">
        <v>150</v>
      </c>
      <c r="B144" t="s">
        <v>1034</v>
      </c>
      <c r="C144" t="s">
        <v>1277</v>
      </c>
      <c r="D144" t="s">
        <v>1289</v>
      </c>
      <c r="E144">
        <v>10</v>
      </c>
      <c r="F144">
        <v>733</v>
      </c>
      <c r="G144">
        <v>7330</v>
      </c>
      <c r="H144" t="s">
        <v>1314</v>
      </c>
    </row>
    <row r="145" spans="1:8" x14ac:dyDescent="0.3">
      <c r="A145" t="s">
        <v>151</v>
      </c>
      <c r="B145" t="s">
        <v>1035</v>
      </c>
      <c r="C145" t="s">
        <v>1274</v>
      </c>
      <c r="D145" t="s">
        <v>1290</v>
      </c>
      <c r="E145">
        <v>2</v>
      </c>
      <c r="F145">
        <v>262</v>
      </c>
      <c r="G145">
        <v>524</v>
      </c>
      <c r="H145" t="s">
        <v>1316</v>
      </c>
    </row>
    <row r="146" spans="1:8" x14ac:dyDescent="0.3">
      <c r="A146" t="s">
        <v>152</v>
      </c>
      <c r="B146" t="s">
        <v>1036</v>
      </c>
      <c r="C146" t="s">
        <v>1274</v>
      </c>
      <c r="D146" t="s">
        <v>1290</v>
      </c>
      <c r="E146">
        <v>8</v>
      </c>
      <c r="F146">
        <v>676</v>
      </c>
      <c r="H146" t="s">
        <v>1316</v>
      </c>
    </row>
    <row r="147" spans="1:8" x14ac:dyDescent="0.3">
      <c r="A147" t="s">
        <v>153</v>
      </c>
      <c r="B147" t="s">
        <v>917</v>
      </c>
      <c r="C147" t="s">
        <v>1282</v>
      </c>
      <c r="D147" t="s">
        <v>1290</v>
      </c>
      <c r="E147">
        <v>0</v>
      </c>
      <c r="F147">
        <v>110</v>
      </c>
      <c r="G147">
        <v>110</v>
      </c>
      <c r="H147" t="s">
        <v>1313</v>
      </c>
    </row>
    <row r="148" spans="1:8" x14ac:dyDescent="0.3">
      <c r="A148" t="s">
        <v>154</v>
      </c>
      <c r="B148" t="s">
        <v>1014</v>
      </c>
      <c r="C148" t="s">
        <v>1275</v>
      </c>
      <c r="D148" t="s">
        <v>1289</v>
      </c>
      <c r="E148">
        <v>4</v>
      </c>
      <c r="F148">
        <v>328</v>
      </c>
      <c r="G148">
        <v>1312</v>
      </c>
      <c r="H148" t="s">
        <v>1315</v>
      </c>
    </row>
    <row r="149" spans="1:8" x14ac:dyDescent="0.3">
      <c r="A149" t="s">
        <v>155</v>
      </c>
      <c r="B149" t="s">
        <v>1037</v>
      </c>
      <c r="C149" t="s">
        <v>1282</v>
      </c>
      <c r="D149" t="s">
        <v>1290</v>
      </c>
      <c r="E149">
        <v>9</v>
      </c>
      <c r="F149">
        <v>558</v>
      </c>
      <c r="G149">
        <v>5022</v>
      </c>
      <c r="H149" t="s">
        <v>1316</v>
      </c>
    </row>
    <row r="150" spans="1:8" x14ac:dyDescent="0.3">
      <c r="A150" t="s">
        <v>156</v>
      </c>
      <c r="B150" t="s">
        <v>955</v>
      </c>
      <c r="C150" t="s">
        <v>1280</v>
      </c>
      <c r="D150" t="s">
        <v>1290</v>
      </c>
      <c r="E150">
        <v>6</v>
      </c>
      <c r="F150">
        <v>734</v>
      </c>
      <c r="G150">
        <v>4404</v>
      </c>
      <c r="H150" t="s">
        <v>1315</v>
      </c>
    </row>
    <row r="151" spans="1:8" x14ac:dyDescent="0.3">
      <c r="A151" t="s">
        <v>157</v>
      </c>
      <c r="B151" t="s">
        <v>942</v>
      </c>
      <c r="C151" t="s">
        <v>1277</v>
      </c>
      <c r="D151" t="s">
        <v>1289</v>
      </c>
      <c r="E151">
        <v>5</v>
      </c>
      <c r="F151">
        <v>251</v>
      </c>
      <c r="G151">
        <v>1255</v>
      </c>
      <c r="H151" t="s">
        <v>1313</v>
      </c>
    </row>
    <row r="152" spans="1:8" x14ac:dyDescent="0.3">
      <c r="A152" t="s">
        <v>158</v>
      </c>
      <c r="B152" t="s">
        <v>1038</v>
      </c>
      <c r="C152" t="s">
        <v>1280</v>
      </c>
      <c r="D152" t="s">
        <v>1290</v>
      </c>
      <c r="E152">
        <v>2</v>
      </c>
      <c r="F152">
        <v>775</v>
      </c>
      <c r="G152">
        <v>1550</v>
      </c>
      <c r="H152" t="s">
        <v>1313</v>
      </c>
    </row>
    <row r="153" spans="1:8" x14ac:dyDescent="0.3">
      <c r="A153" t="s">
        <v>159</v>
      </c>
      <c r="B153" t="s">
        <v>1039</v>
      </c>
      <c r="C153" t="s">
        <v>1274</v>
      </c>
      <c r="D153" t="s">
        <v>1290</v>
      </c>
      <c r="E153">
        <v>4</v>
      </c>
      <c r="F153">
        <v>771</v>
      </c>
      <c r="G153">
        <v>3084</v>
      </c>
      <c r="H153" t="s">
        <v>1315</v>
      </c>
    </row>
    <row r="154" spans="1:8" x14ac:dyDescent="0.3">
      <c r="A154" t="s">
        <v>160</v>
      </c>
      <c r="B154" t="s">
        <v>1040</v>
      </c>
      <c r="C154" t="s">
        <v>1277</v>
      </c>
      <c r="D154" t="s">
        <v>1289</v>
      </c>
      <c r="E154">
        <v>2</v>
      </c>
      <c r="F154">
        <v>867</v>
      </c>
      <c r="G154">
        <v>1734</v>
      </c>
      <c r="H154" t="s">
        <v>1315</v>
      </c>
    </row>
    <row r="155" spans="1:8" x14ac:dyDescent="0.3">
      <c r="A155" t="s">
        <v>161</v>
      </c>
      <c r="B155" t="s">
        <v>968</v>
      </c>
      <c r="C155" t="s">
        <v>1274</v>
      </c>
      <c r="D155" t="s">
        <v>1290</v>
      </c>
      <c r="E155">
        <v>6</v>
      </c>
      <c r="F155">
        <v>198</v>
      </c>
      <c r="G155">
        <v>1188</v>
      </c>
      <c r="H155" t="s">
        <v>1314</v>
      </c>
    </row>
    <row r="156" spans="1:8" x14ac:dyDescent="0.3">
      <c r="A156" t="s">
        <v>162</v>
      </c>
      <c r="B156" t="s">
        <v>1041</v>
      </c>
      <c r="C156" t="s">
        <v>1279</v>
      </c>
      <c r="D156" t="s">
        <v>1289</v>
      </c>
      <c r="E156">
        <v>5</v>
      </c>
      <c r="F156">
        <v>61</v>
      </c>
      <c r="G156">
        <v>305</v>
      </c>
      <c r="H156" t="s">
        <v>1315</v>
      </c>
    </row>
    <row r="157" spans="1:8" x14ac:dyDescent="0.3">
      <c r="A157" t="s">
        <v>163</v>
      </c>
      <c r="B157" t="s">
        <v>1042</v>
      </c>
      <c r="C157" t="s">
        <v>1279</v>
      </c>
      <c r="D157" t="s">
        <v>1289</v>
      </c>
      <c r="E157">
        <v>8</v>
      </c>
      <c r="F157">
        <v>120</v>
      </c>
      <c r="G157">
        <v>960</v>
      </c>
      <c r="H157" t="s">
        <v>1315</v>
      </c>
    </row>
    <row r="158" spans="1:8" x14ac:dyDescent="0.3">
      <c r="A158" t="s">
        <v>164</v>
      </c>
      <c r="B158" t="s">
        <v>1027</v>
      </c>
      <c r="C158" t="s">
        <v>1282</v>
      </c>
      <c r="D158" t="s">
        <v>1290</v>
      </c>
      <c r="E158">
        <v>8</v>
      </c>
      <c r="F158">
        <v>466</v>
      </c>
      <c r="G158">
        <v>3728</v>
      </c>
      <c r="H158" t="s">
        <v>1317</v>
      </c>
    </row>
    <row r="159" spans="1:8" x14ac:dyDescent="0.3">
      <c r="A159" t="s">
        <v>165</v>
      </c>
      <c r="B159" t="s">
        <v>1043</v>
      </c>
      <c r="C159" t="s">
        <v>1285</v>
      </c>
      <c r="D159" t="s">
        <v>1290</v>
      </c>
      <c r="E159">
        <v>5</v>
      </c>
      <c r="F159">
        <v>897</v>
      </c>
      <c r="G159">
        <v>4485</v>
      </c>
      <c r="H159" t="s">
        <v>1314</v>
      </c>
    </row>
    <row r="160" spans="1:8" x14ac:dyDescent="0.3">
      <c r="A160" t="s">
        <v>166</v>
      </c>
      <c r="B160" t="s">
        <v>964</v>
      </c>
      <c r="C160" t="s">
        <v>1273</v>
      </c>
      <c r="D160" t="s">
        <v>1289</v>
      </c>
      <c r="E160">
        <v>7</v>
      </c>
      <c r="F160">
        <v>518</v>
      </c>
      <c r="G160">
        <v>3626</v>
      </c>
      <c r="H160" t="s">
        <v>1314</v>
      </c>
    </row>
    <row r="161" spans="1:8" x14ac:dyDescent="0.3">
      <c r="A161" t="s">
        <v>167</v>
      </c>
      <c r="B161" t="s">
        <v>1044</v>
      </c>
      <c r="C161" t="s">
        <v>1279</v>
      </c>
      <c r="D161" t="s">
        <v>1289</v>
      </c>
      <c r="E161">
        <v>3</v>
      </c>
      <c r="F161">
        <v>845</v>
      </c>
      <c r="G161">
        <v>2535</v>
      </c>
      <c r="H161" t="s">
        <v>1315</v>
      </c>
    </row>
    <row r="162" spans="1:8" x14ac:dyDescent="0.3">
      <c r="A162" t="s">
        <v>168</v>
      </c>
      <c r="B162" t="s">
        <v>1045</v>
      </c>
      <c r="C162" t="s">
        <v>1273</v>
      </c>
      <c r="D162" t="s">
        <v>1289</v>
      </c>
      <c r="E162">
        <v>4</v>
      </c>
      <c r="F162">
        <v>136</v>
      </c>
      <c r="G162">
        <v>544</v>
      </c>
      <c r="H162" t="s">
        <v>1316</v>
      </c>
    </row>
    <row r="163" spans="1:8" x14ac:dyDescent="0.3">
      <c r="A163" t="s">
        <v>169</v>
      </c>
      <c r="B163" t="s">
        <v>1046</v>
      </c>
      <c r="C163" t="s">
        <v>1274</v>
      </c>
      <c r="D163" t="s">
        <v>1290</v>
      </c>
      <c r="E163">
        <v>9</v>
      </c>
      <c r="F163">
        <v>404</v>
      </c>
      <c r="G163">
        <v>3636</v>
      </c>
      <c r="H163" t="s">
        <v>1316</v>
      </c>
    </row>
    <row r="164" spans="1:8" x14ac:dyDescent="0.3">
      <c r="A164" t="s">
        <v>170</v>
      </c>
      <c r="B164" t="s">
        <v>983</v>
      </c>
      <c r="C164" t="s">
        <v>1277</v>
      </c>
      <c r="D164" t="s">
        <v>1289</v>
      </c>
      <c r="E164">
        <v>10</v>
      </c>
      <c r="F164">
        <v>454</v>
      </c>
      <c r="G164">
        <v>4540</v>
      </c>
      <c r="H164" t="s">
        <v>1314</v>
      </c>
    </row>
    <row r="165" spans="1:8" x14ac:dyDescent="0.3">
      <c r="A165" t="s">
        <v>171</v>
      </c>
      <c r="B165" t="s">
        <v>925</v>
      </c>
      <c r="C165" t="s">
        <v>1273</v>
      </c>
      <c r="D165" t="s">
        <v>1289</v>
      </c>
      <c r="E165">
        <v>4</v>
      </c>
      <c r="F165">
        <v>655</v>
      </c>
      <c r="G165">
        <v>2620</v>
      </c>
      <c r="H165" t="s">
        <v>1315</v>
      </c>
    </row>
    <row r="166" spans="1:8" x14ac:dyDescent="0.3">
      <c r="A166" t="s">
        <v>172</v>
      </c>
      <c r="B166" t="s">
        <v>1047</v>
      </c>
      <c r="C166" t="s">
        <v>1273</v>
      </c>
      <c r="D166" t="s">
        <v>1289</v>
      </c>
      <c r="E166">
        <v>0</v>
      </c>
      <c r="F166">
        <v>260</v>
      </c>
      <c r="G166">
        <v>780</v>
      </c>
      <c r="H166" t="s">
        <v>1314</v>
      </c>
    </row>
    <row r="167" spans="1:8" x14ac:dyDescent="0.3">
      <c r="A167" t="s">
        <v>173</v>
      </c>
      <c r="B167" t="s">
        <v>1046</v>
      </c>
      <c r="C167" t="s">
        <v>1279</v>
      </c>
      <c r="D167" t="s">
        <v>1289</v>
      </c>
      <c r="E167">
        <v>1</v>
      </c>
      <c r="F167">
        <v>433</v>
      </c>
      <c r="G167">
        <v>433</v>
      </c>
      <c r="H167" t="s">
        <v>1316</v>
      </c>
    </row>
    <row r="168" spans="1:8" x14ac:dyDescent="0.3">
      <c r="A168" t="s">
        <v>174</v>
      </c>
      <c r="B168" t="s">
        <v>1048</v>
      </c>
      <c r="C168" t="s">
        <v>1277</v>
      </c>
      <c r="D168" t="s">
        <v>1289</v>
      </c>
      <c r="E168">
        <v>1</v>
      </c>
      <c r="F168">
        <v>252</v>
      </c>
      <c r="G168">
        <v>252</v>
      </c>
      <c r="H168" t="s">
        <v>1315</v>
      </c>
    </row>
    <row r="169" spans="1:8" x14ac:dyDescent="0.3">
      <c r="A169" t="s">
        <v>175</v>
      </c>
      <c r="B169" t="s">
        <v>919</v>
      </c>
      <c r="C169" t="s">
        <v>1282</v>
      </c>
      <c r="D169" t="s">
        <v>1290</v>
      </c>
      <c r="E169">
        <v>2</v>
      </c>
      <c r="F169">
        <v>718</v>
      </c>
      <c r="G169">
        <v>1436</v>
      </c>
      <c r="H169" t="s">
        <v>1315</v>
      </c>
    </row>
    <row r="170" spans="1:8" x14ac:dyDescent="0.3">
      <c r="A170" t="s">
        <v>176</v>
      </c>
      <c r="B170" t="s">
        <v>1049</v>
      </c>
      <c r="C170" t="s">
        <v>1274</v>
      </c>
      <c r="D170" t="s">
        <v>1290</v>
      </c>
      <c r="E170">
        <v>7</v>
      </c>
      <c r="F170">
        <v>132</v>
      </c>
      <c r="G170">
        <v>924</v>
      </c>
      <c r="H170" t="s">
        <v>1313</v>
      </c>
    </row>
    <row r="171" spans="1:8" x14ac:dyDescent="0.3">
      <c r="A171" t="s">
        <v>177</v>
      </c>
      <c r="B171" t="s">
        <v>1050</v>
      </c>
      <c r="C171" t="s">
        <v>1279</v>
      </c>
      <c r="D171" t="s">
        <v>1289</v>
      </c>
      <c r="E171">
        <v>5</v>
      </c>
      <c r="F171">
        <v>861</v>
      </c>
      <c r="G171">
        <v>4305</v>
      </c>
      <c r="H171" t="s">
        <v>1314</v>
      </c>
    </row>
    <row r="172" spans="1:8" x14ac:dyDescent="0.3">
      <c r="A172" t="s">
        <v>178</v>
      </c>
      <c r="B172" t="s">
        <v>976</v>
      </c>
      <c r="C172" t="s">
        <v>1276</v>
      </c>
      <c r="D172" t="s">
        <v>1290</v>
      </c>
      <c r="E172">
        <v>3</v>
      </c>
      <c r="F172">
        <v>826</v>
      </c>
      <c r="G172">
        <v>2478</v>
      </c>
      <c r="H172" t="s">
        <v>1315</v>
      </c>
    </row>
    <row r="173" spans="1:8" x14ac:dyDescent="0.3">
      <c r="A173" t="s">
        <v>179</v>
      </c>
      <c r="B173" t="s">
        <v>1051</v>
      </c>
      <c r="C173" t="s">
        <v>1286</v>
      </c>
      <c r="D173" t="s">
        <v>1290</v>
      </c>
      <c r="E173">
        <v>2</v>
      </c>
      <c r="F173">
        <v>494</v>
      </c>
      <c r="G173">
        <v>988</v>
      </c>
      <c r="H173" t="s">
        <v>1315</v>
      </c>
    </row>
    <row r="174" spans="1:8" x14ac:dyDescent="0.3">
      <c r="A174" t="s">
        <v>180</v>
      </c>
      <c r="B174" t="s">
        <v>1052</v>
      </c>
      <c r="C174" t="s">
        <v>1275</v>
      </c>
      <c r="D174" t="s">
        <v>1289</v>
      </c>
      <c r="E174">
        <v>5</v>
      </c>
      <c r="F174">
        <v>527</v>
      </c>
      <c r="G174">
        <v>2635</v>
      </c>
      <c r="H174" t="s">
        <v>1316</v>
      </c>
    </row>
    <row r="175" spans="1:8" x14ac:dyDescent="0.3">
      <c r="A175" t="s">
        <v>181</v>
      </c>
      <c r="B175" t="s">
        <v>1053</v>
      </c>
      <c r="C175" t="s">
        <v>1282</v>
      </c>
      <c r="D175" t="s">
        <v>1290</v>
      </c>
      <c r="E175">
        <v>2</v>
      </c>
      <c r="F175">
        <v>627</v>
      </c>
      <c r="G175">
        <v>1254</v>
      </c>
      <c r="H175" t="s">
        <v>1316</v>
      </c>
    </row>
    <row r="176" spans="1:8" x14ac:dyDescent="0.3">
      <c r="A176" t="s">
        <v>182</v>
      </c>
      <c r="B176" t="s">
        <v>911</v>
      </c>
      <c r="C176" t="s">
        <v>1280</v>
      </c>
      <c r="D176" t="s">
        <v>1290</v>
      </c>
      <c r="E176">
        <v>10</v>
      </c>
      <c r="F176">
        <v>271</v>
      </c>
      <c r="G176">
        <v>2710</v>
      </c>
      <c r="H176" t="s">
        <v>1314</v>
      </c>
    </row>
    <row r="177" spans="1:8" x14ac:dyDescent="0.3">
      <c r="A177" t="s">
        <v>183</v>
      </c>
      <c r="B177" t="s">
        <v>943</v>
      </c>
      <c r="C177" t="s">
        <v>1274</v>
      </c>
      <c r="D177" t="s">
        <v>1290</v>
      </c>
      <c r="E177">
        <v>10</v>
      </c>
      <c r="F177">
        <v>616</v>
      </c>
      <c r="G177">
        <v>6160</v>
      </c>
      <c r="H177" t="s">
        <v>1315</v>
      </c>
    </row>
    <row r="178" spans="1:8" x14ac:dyDescent="0.3">
      <c r="A178" t="s">
        <v>184</v>
      </c>
      <c r="B178" t="s">
        <v>1054</v>
      </c>
      <c r="C178" t="s">
        <v>1276</v>
      </c>
      <c r="D178" t="s">
        <v>1290</v>
      </c>
      <c r="E178">
        <v>3</v>
      </c>
      <c r="F178">
        <v>496</v>
      </c>
      <c r="G178">
        <v>1488</v>
      </c>
      <c r="H178" t="s">
        <v>1316</v>
      </c>
    </row>
    <row r="179" spans="1:8" x14ac:dyDescent="0.3">
      <c r="A179" t="s">
        <v>185</v>
      </c>
      <c r="B179" t="s">
        <v>1011</v>
      </c>
      <c r="C179" t="s">
        <v>1277</v>
      </c>
      <c r="D179" t="s">
        <v>1289</v>
      </c>
      <c r="E179">
        <v>3</v>
      </c>
      <c r="F179">
        <v>614</v>
      </c>
      <c r="G179">
        <v>1842</v>
      </c>
      <c r="H179" t="s">
        <v>1316</v>
      </c>
    </row>
    <row r="180" spans="1:8" x14ac:dyDescent="0.3">
      <c r="A180" t="s">
        <v>186</v>
      </c>
      <c r="B180" t="s">
        <v>1055</v>
      </c>
      <c r="C180" t="s">
        <v>1273</v>
      </c>
      <c r="D180" t="s">
        <v>1289</v>
      </c>
      <c r="E180">
        <v>8</v>
      </c>
      <c r="F180">
        <v>371</v>
      </c>
      <c r="G180">
        <v>2968</v>
      </c>
      <c r="H180" t="s">
        <v>1315</v>
      </c>
    </row>
    <row r="181" spans="1:8" x14ac:dyDescent="0.3">
      <c r="A181" t="s">
        <v>187</v>
      </c>
      <c r="B181" t="s">
        <v>935</v>
      </c>
      <c r="C181" t="s">
        <v>1280</v>
      </c>
      <c r="D181" t="s">
        <v>1290</v>
      </c>
      <c r="E181">
        <v>2</v>
      </c>
      <c r="F181">
        <v>893</v>
      </c>
      <c r="G181">
        <v>1786</v>
      </c>
      <c r="H181" t="s">
        <v>1315</v>
      </c>
    </row>
    <row r="182" spans="1:8" x14ac:dyDescent="0.3">
      <c r="A182" t="s">
        <v>188</v>
      </c>
      <c r="B182" t="s">
        <v>1014</v>
      </c>
      <c r="C182" t="s">
        <v>1275</v>
      </c>
      <c r="D182" t="s">
        <v>1289</v>
      </c>
      <c r="E182">
        <v>8</v>
      </c>
      <c r="F182">
        <v>310</v>
      </c>
      <c r="G182">
        <v>2480</v>
      </c>
      <c r="H182" t="s">
        <v>1316</v>
      </c>
    </row>
    <row r="183" spans="1:8" x14ac:dyDescent="0.3">
      <c r="A183" t="s">
        <v>189</v>
      </c>
      <c r="B183" t="s">
        <v>1056</v>
      </c>
      <c r="C183" t="s">
        <v>1276</v>
      </c>
      <c r="D183" t="s">
        <v>1290</v>
      </c>
      <c r="E183">
        <v>8</v>
      </c>
      <c r="F183">
        <v>105</v>
      </c>
      <c r="G183">
        <v>840</v>
      </c>
      <c r="H183" t="s">
        <v>1315</v>
      </c>
    </row>
    <row r="184" spans="1:8" x14ac:dyDescent="0.3">
      <c r="A184" t="s">
        <v>190</v>
      </c>
      <c r="B184" t="s">
        <v>950</v>
      </c>
      <c r="C184" t="s">
        <v>1280</v>
      </c>
      <c r="D184" t="s">
        <v>1292</v>
      </c>
      <c r="E184">
        <v>2</v>
      </c>
      <c r="F184">
        <v>806</v>
      </c>
      <c r="G184">
        <v>1612</v>
      </c>
      <c r="H184" t="s">
        <v>1314</v>
      </c>
    </row>
    <row r="185" spans="1:8" x14ac:dyDescent="0.3">
      <c r="A185" t="s">
        <v>191</v>
      </c>
      <c r="B185" t="s">
        <v>1057</v>
      </c>
      <c r="C185" t="s">
        <v>1282</v>
      </c>
      <c r="D185" t="s">
        <v>1290</v>
      </c>
      <c r="E185">
        <v>7</v>
      </c>
      <c r="F185">
        <v>70</v>
      </c>
      <c r="G185">
        <v>490</v>
      </c>
      <c r="H185" t="s">
        <v>1315</v>
      </c>
    </row>
    <row r="186" spans="1:8" x14ac:dyDescent="0.3">
      <c r="A186" t="s">
        <v>192</v>
      </c>
      <c r="B186" t="s">
        <v>972</v>
      </c>
      <c r="C186" t="s">
        <v>1282</v>
      </c>
      <c r="D186" t="s">
        <v>1290</v>
      </c>
      <c r="E186">
        <v>8</v>
      </c>
      <c r="F186">
        <v>793</v>
      </c>
      <c r="G186">
        <v>6344</v>
      </c>
      <c r="H186" t="s">
        <v>1313</v>
      </c>
    </row>
    <row r="187" spans="1:8" x14ac:dyDescent="0.3">
      <c r="A187" t="s">
        <v>193</v>
      </c>
      <c r="B187" t="s">
        <v>1048</v>
      </c>
      <c r="C187" t="s">
        <v>1277</v>
      </c>
      <c r="D187" t="s">
        <v>1289</v>
      </c>
      <c r="E187">
        <v>0</v>
      </c>
      <c r="F187">
        <v>149</v>
      </c>
      <c r="G187">
        <v>1341</v>
      </c>
      <c r="H187" t="s">
        <v>1316</v>
      </c>
    </row>
    <row r="188" spans="1:8" x14ac:dyDescent="0.3">
      <c r="A188" t="s">
        <v>194</v>
      </c>
      <c r="B188" t="s">
        <v>1058</v>
      </c>
      <c r="C188" t="s">
        <v>1282</v>
      </c>
      <c r="D188" t="s">
        <v>1290</v>
      </c>
      <c r="E188">
        <v>2</v>
      </c>
      <c r="F188">
        <v>44</v>
      </c>
      <c r="G188">
        <v>88</v>
      </c>
      <c r="H188" t="s">
        <v>1313</v>
      </c>
    </row>
    <row r="189" spans="1:8" x14ac:dyDescent="0.3">
      <c r="A189" t="s">
        <v>195</v>
      </c>
      <c r="B189" t="s">
        <v>954</v>
      </c>
      <c r="C189" t="s">
        <v>1279</v>
      </c>
      <c r="D189" t="s">
        <v>1289</v>
      </c>
      <c r="E189">
        <v>5</v>
      </c>
      <c r="F189">
        <v>579</v>
      </c>
      <c r="G189">
        <v>2895</v>
      </c>
      <c r="H189" t="s">
        <v>1316</v>
      </c>
    </row>
    <row r="190" spans="1:8" x14ac:dyDescent="0.3">
      <c r="A190" t="s">
        <v>196</v>
      </c>
      <c r="B190" t="s">
        <v>1021</v>
      </c>
      <c r="C190" t="s">
        <v>1273</v>
      </c>
      <c r="D190" t="s">
        <v>1289</v>
      </c>
      <c r="E190">
        <v>0</v>
      </c>
      <c r="F190">
        <v>876</v>
      </c>
      <c r="G190">
        <v>3504</v>
      </c>
      <c r="H190" t="s">
        <v>1316</v>
      </c>
    </row>
    <row r="191" spans="1:8" x14ac:dyDescent="0.3">
      <c r="A191" t="s">
        <v>197</v>
      </c>
      <c r="B191" t="s">
        <v>1059</v>
      </c>
      <c r="C191" t="s">
        <v>1273</v>
      </c>
      <c r="D191" t="s">
        <v>1289</v>
      </c>
      <c r="E191">
        <v>3</v>
      </c>
      <c r="F191">
        <v>525</v>
      </c>
      <c r="G191">
        <v>1575</v>
      </c>
      <c r="H191" t="s">
        <v>1315</v>
      </c>
    </row>
    <row r="192" spans="1:8" x14ac:dyDescent="0.3">
      <c r="A192" t="s">
        <v>198</v>
      </c>
      <c r="B192" t="s">
        <v>1060</v>
      </c>
      <c r="C192" t="s">
        <v>1275</v>
      </c>
      <c r="D192" t="s">
        <v>1289</v>
      </c>
      <c r="E192">
        <v>8</v>
      </c>
      <c r="F192">
        <v>498</v>
      </c>
      <c r="G192">
        <v>3984</v>
      </c>
      <c r="H192" t="s">
        <v>1316</v>
      </c>
    </row>
    <row r="193" spans="1:8" x14ac:dyDescent="0.3">
      <c r="A193" t="s">
        <v>199</v>
      </c>
      <c r="B193" t="s">
        <v>1061</v>
      </c>
      <c r="C193" t="s">
        <v>1279</v>
      </c>
      <c r="D193" t="s">
        <v>1289</v>
      </c>
      <c r="E193">
        <v>7</v>
      </c>
      <c r="F193">
        <v>210</v>
      </c>
      <c r="G193">
        <v>1470</v>
      </c>
      <c r="H193" t="s">
        <v>1313</v>
      </c>
    </row>
    <row r="194" spans="1:8" x14ac:dyDescent="0.3">
      <c r="A194" t="s">
        <v>200</v>
      </c>
      <c r="B194" t="s">
        <v>1008</v>
      </c>
      <c r="C194" t="s">
        <v>1273</v>
      </c>
      <c r="D194" t="s">
        <v>1289</v>
      </c>
      <c r="E194">
        <v>5</v>
      </c>
      <c r="F194">
        <v>806</v>
      </c>
      <c r="G194">
        <v>4030</v>
      </c>
      <c r="H194" t="s">
        <v>1315</v>
      </c>
    </row>
    <row r="195" spans="1:8" x14ac:dyDescent="0.3">
      <c r="A195" t="s">
        <v>201</v>
      </c>
      <c r="B195" t="s">
        <v>1062</v>
      </c>
      <c r="C195" t="s">
        <v>1277</v>
      </c>
      <c r="D195" t="s">
        <v>1289</v>
      </c>
      <c r="E195">
        <v>1</v>
      </c>
      <c r="F195">
        <v>304</v>
      </c>
      <c r="G195">
        <v>304</v>
      </c>
      <c r="H195" t="s">
        <v>1316</v>
      </c>
    </row>
    <row r="196" spans="1:8" x14ac:dyDescent="0.3">
      <c r="A196" t="s">
        <v>202</v>
      </c>
      <c r="B196" t="s">
        <v>1039</v>
      </c>
      <c r="C196" t="s">
        <v>1279</v>
      </c>
      <c r="D196" t="s">
        <v>1289</v>
      </c>
      <c r="E196">
        <v>8</v>
      </c>
      <c r="F196">
        <v>566</v>
      </c>
      <c r="G196">
        <v>4528</v>
      </c>
      <c r="H196" t="s">
        <v>1315</v>
      </c>
    </row>
    <row r="197" spans="1:8" x14ac:dyDescent="0.3">
      <c r="A197" t="s">
        <v>203</v>
      </c>
      <c r="B197" t="s">
        <v>1049</v>
      </c>
      <c r="C197" t="s">
        <v>1280</v>
      </c>
      <c r="D197" t="s">
        <v>1290</v>
      </c>
      <c r="E197">
        <v>9</v>
      </c>
      <c r="F197">
        <v>796</v>
      </c>
      <c r="G197">
        <v>7164</v>
      </c>
      <c r="H197" t="s">
        <v>1316</v>
      </c>
    </row>
    <row r="198" spans="1:8" x14ac:dyDescent="0.3">
      <c r="A198" t="s">
        <v>204</v>
      </c>
      <c r="B198" t="s">
        <v>1063</v>
      </c>
      <c r="C198" t="s">
        <v>1282</v>
      </c>
      <c r="D198" t="s">
        <v>1290</v>
      </c>
      <c r="E198">
        <v>6</v>
      </c>
      <c r="F198">
        <v>208</v>
      </c>
      <c r="G198">
        <v>1248</v>
      </c>
      <c r="H198" t="s">
        <v>1313</v>
      </c>
    </row>
    <row r="199" spans="1:8" x14ac:dyDescent="0.3">
      <c r="A199" t="s">
        <v>205</v>
      </c>
      <c r="B199" t="s">
        <v>949</v>
      </c>
      <c r="C199" t="s">
        <v>1284</v>
      </c>
      <c r="D199" t="s">
        <v>1289</v>
      </c>
      <c r="E199">
        <v>4</v>
      </c>
      <c r="F199">
        <v>891</v>
      </c>
      <c r="G199">
        <v>3564</v>
      </c>
      <c r="H199" t="s">
        <v>1314</v>
      </c>
    </row>
    <row r="200" spans="1:8" x14ac:dyDescent="0.3">
      <c r="A200" t="s">
        <v>206</v>
      </c>
      <c r="B200" t="s">
        <v>1064</v>
      </c>
      <c r="C200" t="s">
        <v>1280</v>
      </c>
      <c r="D200" t="s">
        <v>1290</v>
      </c>
      <c r="E200">
        <v>0</v>
      </c>
      <c r="F200">
        <v>737</v>
      </c>
      <c r="G200">
        <v>5896</v>
      </c>
      <c r="H200" t="s">
        <v>1318</v>
      </c>
    </row>
    <row r="201" spans="1:8" x14ac:dyDescent="0.3">
      <c r="A201" t="s">
        <v>207</v>
      </c>
      <c r="B201" t="s">
        <v>1065</v>
      </c>
      <c r="C201" t="s">
        <v>1279</v>
      </c>
      <c r="D201" t="s">
        <v>1289</v>
      </c>
      <c r="E201">
        <v>8</v>
      </c>
      <c r="F201">
        <v>52</v>
      </c>
      <c r="G201">
        <v>416</v>
      </c>
      <c r="H201" t="s">
        <v>1315</v>
      </c>
    </row>
    <row r="202" spans="1:8" x14ac:dyDescent="0.3">
      <c r="A202" t="s">
        <v>208</v>
      </c>
      <c r="B202" t="s">
        <v>1066</v>
      </c>
      <c r="C202" t="s">
        <v>1273</v>
      </c>
      <c r="D202" t="s">
        <v>1289</v>
      </c>
      <c r="E202">
        <v>8</v>
      </c>
      <c r="F202">
        <v>117</v>
      </c>
      <c r="G202">
        <v>936</v>
      </c>
      <c r="H202" t="s">
        <v>1316</v>
      </c>
    </row>
    <row r="203" spans="1:8" x14ac:dyDescent="0.3">
      <c r="A203" t="s">
        <v>209</v>
      </c>
      <c r="B203" t="s">
        <v>1067</v>
      </c>
      <c r="C203" t="s">
        <v>1276</v>
      </c>
      <c r="D203" t="s">
        <v>1290</v>
      </c>
      <c r="E203">
        <v>3</v>
      </c>
      <c r="F203">
        <v>434</v>
      </c>
      <c r="G203">
        <v>1302</v>
      </c>
      <c r="H203" t="s">
        <v>1313</v>
      </c>
    </row>
    <row r="204" spans="1:8" x14ac:dyDescent="0.3">
      <c r="A204" t="s">
        <v>210</v>
      </c>
      <c r="B204" t="s">
        <v>969</v>
      </c>
      <c r="C204" t="s">
        <v>1273</v>
      </c>
      <c r="D204" t="s">
        <v>1289</v>
      </c>
      <c r="E204">
        <v>8</v>
      </c>
      <c r="F204" t="s">
        <v>1299</v>
      </c>
      <c r="G204">
        <v>6520</v>
      </c>
      <c r="H204" t="s">
        <v>1315</v>
      </c>
    </row>
    <row r="205" spans="1:8" x14ac:dyDescent="0.3">
      <c r="A205" t="s">
        <v>211</v>
      </c>
      <c r="B205" t="s">
        <v>1068</v>
      </c>
      <c r="C205" t="s">
        <v>1275</v>
      </c>
      <c r="D205" t="s">
        <v>1289</v>
      </c>
      <c r="E205">
        <v>2</v>
      </c>
      <c r="F205">
        <v>887</v>
      </c>
      <c r="G205">
        <v>1774</v>
      </c>
      <c r="H205" t="s">
        <v>1316</v>
      </c>
    </row>
    <row r="206" spans="1:8" x14ac:dyDescent="0.3">
      <c r="A206" t="s">
        <v>212</v>
      </c>
      <c r="B206" t="s">
        <v>1069</v>
      </c>
      <c r="C206" t="s">
        <v>1280</v>
      </c>
      <c r="D206" t="s">
        <v>1290</v>
      </c>
      <c r="E206">
        <v>8</v>
      </c>
      <c r="F206">
        <v>569</v>
      </c>
      <c r="G206">
        <v>4552</v>
      </c>
      <c r="H206" t="s">
        <v>1314</v>
      </c>
    </row>
    <row r="207" spans="1:8" x14ac:dyDescent="0.3">
      <c r="A207" t="s">
        <v>213</v>
      </c>
      <c r="B207" t="s">
        <v>929</v>
      </c>
      <c r="C207" t="s">
        <v>1274</v>
      </c>
      <c r="D207" t="s">
        <v>1290</v>
      </c>
      <c r="E207">
        <v>5</v>
      </c>
      <c r="F207">
        <v>247</v>
      </c>
      <c r="G207">
        <v>1235</v>
      </c>
      <c r="H207" t="s">
        <v>1316</v>
      </c>
    </row>
    <row r="208" spans="1:8" x14ac:dyDescent="0.3">
      <c r="A208" t="s">
        <v>214</v>
      </c>
      <c r="B208" t="s">
        <v>1070</v>
      </c>
      <c r="C208" t="s">
        <v>1273</v>
      </c>
      <c r="D208" t="s">
        <v>1289</v>
      </c>
      <c r="E208">
        <v>2</v>
      </c>
      <c r="F208">
        <v>469</v>
      </c>
      <c r="G208">
        <v>938</v>
      </c>
      <c r="H208" t="s">
        <v>1315</v>
      </c>
    </row>
    <row r="209" spans="1:8" x14ac:dyDescent="0.3">
      <c r="A209" t="s">
        <v>215</v>
      </c>
      <c r="B209" t="s">
        <v>1071</v>
      </c>
      <c r="C209" t="s">
        <v>1276</v>
      </c>
      <c r="D209" t="s">
        <v>1290</v>
      </c>
      <c r="E209">
        <v>1</v>
      </c>
      <c r="F209">
        <v>347</v>
      </c>
      <c r="G209">
        <v>347</v>
      </c>
      <c r="H209" t="s">
        <v>1315</v>
      </c>
    </row>
    <row r="210" spans="1:8" x14ac:dyDescent="0.3">
      <c r="A210" t="s">
        <v>216</v>
      </c>
      <c r="B210" t="s">
        <v>1072</v>
      </c>
      <c r="C210" t="s">
        <v>1280</v>
      </c>
      <c r="D210" t="s">
        <v>1290</v>
      </c>
      <c r="E210">
        <v>6</v>
      </c>
      <c r="F210">
        <v>456</v>
      </c>
      <c r="G210">
        <v>2736</v>
      </c>
      <c r="H210" t="s">
        <v>1313</v>
      </c>
    </row>
    <row r="211" spans="1:8" x14ac:dyDescent="0.3">
      <c r="A211" t="s">
        <v>217</v>
      </c>
      <c r="B211" t="s">
        <v>1073</v>
      </c>
      <c r="C211" t="s">
        <v>1275</v>
      </c>
      <c r="D211" t="s">
        <v>1289</v>
      </c>
      <c r="E211">
        <v>10</v>
      </c>
      <c r="F211">
        <v>713</v>
      </c>
      <c r="G211">
        <v>7130</v>
      </c>
      <c r="H211" t="s">
        <v>1313</v>
      </c>
    </row>
    <row r="212" spans="1:8" x14ac:dyDescent="0.3">
      <c r="A212" t="s">
        <v>218</v>
      </c>
      <c r="B212" t="s">
        <v>1064</v>
      </c>
      <c r="C212" t="s">
        <v>1287</v>
      </c>
      <c r="D212" t="s">
        <v>1289</v>
      </c>
      <c r="E212">
        <v>2</v>
      </c>
      <c r="F212">
        <v>639</v>
      </c>
      <c r="G212">
        <v>1278</v>
      </c>
      <c r="H212" t="s">
        <v>1313</v>
      </c>
    </row>
    <row r="213" spans="1:8" x14ac:dyDescent="0.3">
      <c r="A213" t="s">
        <v>219</v>
      </c>
      <c r="B213" t="s">
        <v>1007</v>
      </c>
      <c r="C213" t="s">
        <v>1282</v>
      </c>
      <c r="D213" t="s">
        <v>1290</v>
      </c>
      <c r="E213">
        <v>10</v>
      </c>
      <c r="F213">
        <v>161</v>
      </c>
      <c r="G213">
        <v>1610</v>
      </c>
      <c r="H213" t="s">
        <v>1316</v>
      </c>
    </row>
    <row r="214" spans="1:8" x14ac:dyDescent="0.3">
      <c r="A214" t="s">
        <v>220</v>
      </c>
      <c r="B214" t="s">
        <v>1074</v>
      </c>
      <c r="C214" t="s">
        <v>1277</v>
      </c>
      <c r="D214" t="s">
        <v>1289</v>
      </c>
      <c r="E214">
        <v>8</v>
      </c>
      <c r="F214">
        <v>276</v>
      </c>
      <c r="G214">
        <v>2208</v>
      </c>
      <c r="H214" t="s">
        <v>1314</v>
      </c>
    </row>
    <row r="215" spans="1:8" x14ac:dyDescent="0.3">
      <c r="A215" t="s">
        <v>221</v>
      </c>
      <c r="B215" t="s">
        <v>1010</v>
      </c>
      <c r="C215" t="s">
        <v>1282</v>
      </c>
      <c r="D215" t="s">
        <v>1290</v>
      </c>
      <c r="E215">
        <v>5</v>
      </c>
      <c r="F215">
        <v>708</v>
      </c>
      <c r="G215">
        <v>3540</v>
      </c>
      <c r="H215" t="s">
        <v>1313</v>
      </c>
    </row>
    <row r="216" spans="1:8" x14ac:dyDescent="0.3">
      <c r="A216" t="s">
        <v>222</v>
      </c>
      <c r="B216" t="s">
        <v>1075</v>
      </c>
      <c r="C216" t="s">
        <v>1273</v>
      </c>
      <c r="D216" t="s">
        <v>1289</v>
      </c>
      <c r="E216">
        <v>8</v>
      </c>
      <c r="F216">
        <v>368</v>
      </c>
      <c r="G216">
        <v>2944</v>
      </c>
      <c r="H216" t="s">
        <v>1315</v>
      </c>
    </row>
    <row r="217" spans="1:8" x14ac:dyDescent="0.3">
      <c r="A217" t="s">
        <v>223</v>
      </c>
      <c r="B217" t="s">
        <v>968</v>
      </c>
      <c r="C217" t="s">
        <v>1284</v>
      </c>
      <c r="D217" t="s">
        <v>1289</v>
      </c>
      <c r="E217">
        <v>5</v>
      </c>
      <c r="F217">
        <v>482</v>
      </c>
      <c r="H217" t="s">
        <v>1313</v>
      </c>
    </row>
    <row r="218" spans="1:8" x14ac:dyDescent="0.3">
      <c r="A218" t="s">
        <v>224</v>
      </c>
      <c r="B218" t="s">
        <v>1076</v>
      </c>
      <c r="C218" t="s">
        <v>1275</v>
      </c>
      <c r="D218" t="s">
        <v>1289</v>
      </c>
      <c r="E218">
        <v>8</v>
      </c>
      <c r="F218">
        <v>124</v>
      </c>
      <c r="H218" t="s">
        <v>1316</v>
      </c>
    </row>
    <row r="219" spans="1:8" x14ac:dyDescent="0.3">
      <c r="A219" t="s">
        <v>225</v>
      </c>
      <c r="B219" t="s">
        <v>1077</v>
      </c>
      <c r="C219" t="s">
        <v>1280</v>
      </c>
      <c r="D219" t="s">
        <v>1290</v>
      </c>
      <c r="E219">
        <v>10</v>
      </c>
      <c r="F219">
        <v>317</v>
      </c>
      <c r="G219">
        <v>3170</v>
      </c>
      <c r="H219" t="s">
        <v>1315</v>
      </c>
    </row>
    <row r="220" spans="1:8" x14ac:dyDescent="0.3">
      <c r="A220" t="s">
        <v>226</v>
      </c>
      <c r="B220" t="s">
        <v>1078</v>
      </c>
      <c r="C220" t="s">
        <v>1285</v>
      </c>
      <c r="D220" t="s">
        <v>1290</v>
      </c>
      <c r="E220">
        <v>7</v>
      </c>
      <c r="F220">
        <v>296</v>
      </c>
      <c r="G220">
        <v>2072</v>
      </c>
      <c r="H220" t="s">
        <v>1314</v>
      </c>
    </row>
    <row r="221" spans="1:8" x14ac:dyDescent="0.3">
      <c r="A221" t="s">
        <v>227</v>
      </c>
      <c r="B221" t="s">
        <v>1079</v>
      </c>
      <c r="C221" t="s">
        <v>1282</v>
      </c>
      <c r="D221" t="s">
        <v>1290</v>
      </c>
      <c r="E221">
        <v>5</v>
      </c>
      <c r="F221">
        <v>809</v>
      </c>
      <c r="G221">
        <v>4045</v>
      </c>
      <c r="H221" t="s">
        <v>1315</v>
      </c>
    </row>
    <row r="222" spans="1:8" x14ac:dyDescent="0.3">
      <c r="A222" t="s">
        <v>228</v>
      </c>
      <c r="B222" t="s">
        <v>1080</v>
      </c>
      <c r="C222" t="s">
        <v>1274</v>
      </c>
      <c r="D222" t="s">
        <v>1290</v>
      </c>
      <c r="E222">
        <v>4</v>
      </c>
      <c r="F222">
        <v>650</v>
      </c>
      <c r="G222">
        <v>2600</v>
      </c>
      <c r="H222" t="s">
        <v>1313</v>
      </c>
    </row>
    <row r="223" spans="1:8" x14ac:dyDescent="0.3">
      <c r="A223" t="s">
        <v>229</v>
      </c>
      <c r="B223" t="s">
        <v>1005</v>
      </c>
      <c r="C223" t="s">
        <v>1273</v>
      </c>
      <c r="D223" t="s">
        <v>1289</v>
      </c>
      <c r="E223">
        <v>1</v>
      </c>
      <c r="F223">
        <v>331</v>
      </c>
      <c r="G223">
        <v>331</v>
      </c>
      <c r="H223" t="s">
        <v>1314</v>
      </c>
    </row>
    <row r="224" spans="1:8" x14ac:dyDescent="0.3">
      <c r="A224" t="s">
        <v>230</v>
      </c>
      <c r="B224" t="s">
        <v>1081</v>
      </c>
      <c r="C224" t="s">
        <v>1280</v>
      </c>
      <c r="D224" t="s">
        <v>1290</v>
      </c>
      <c r="E224">
        <v>3</v>
      </c>
      <c r="F224">
        <v>107</v>
      </c>
      <c r="G224">
        <v>321</v>
      </c>
      <c r="H224" t="s">
        <v>1315</v>
      </c>
    </row>
    <row r="225" spans="1:8" x14ac:dyDescent="0.3">
      <c r="A225" t="s">
        <v>231</v>
      </c>
      <c r="B225" t="s">
        <v>966</v>
      </c>
      <c r="C225" t="s">
        <v>1275</v>
      </c>
      <c r="D225" t="s">
        <v>1289</v>
      </c>
      <c r="E225">
        <v>3</v>
      </c>
      <c r="F225">
        <v>220</v>
      </c>
      <c r="G225">
        <v>660</v>
      </c>
      <c r="H225" t="s">
        <v>1315</v>
      </c>
    </row>
    <row r="226" spans="1:8" x14ac:dyDescent="0.3">
      <c r="A226" t="s">
        <v>232</v>
      </c>
      <c r="B226" t="s">
        <v>1082</v>
      </c>
      <c r="C226" t="s">
        <v>1277</v>
      </c>
      <c r="D226" t="s">
        <v>1289</v>
      </c>
      <c r="E226">
        <v>3</v>
      </c>
      <c r="F226">
        <v>278</v>
      </c>
      <c r="G226">
        <v>834</v>
      </c>
      <c r="H226" t="s">
        <v>1315</v>
      </c>
    </row>
    <row r="227" spans="1:8" x14ac:dyDescent="0.3">
      <c r="A227" t="s">
        <v>233</v>
      </c>
      <c r="B227" t="s">
        <v>1083</v>
      </c>
      <c r="C227" t="s">
        <v>1280</v>
      </c>
      <c r="D227" t="s">
        <v>1290</v>
      </c>
      <c r="E227">
        <v>2</v>
      </c>
      <c r="F227">
        <v>494</v>
      </c>
      <c r="G227">
        <v>988</v>
      </c>
      <c r="H227" t="s">
        <v>1313</v>
      </c>
    </row>
    <row r="228" spans="1:8" x14ac:dyDescent="0.3">
      <c r="A228" t="s">
        <v>234</v>
      </c>
      <c r="B228" t="s">
        <v>1084</v>
      </c>
      <c r="C228" t="s">
        <v>1274</v>
      </c>
      <c r="D228" t="s">
        <v>1290</v>
      </c>
      <c r="E228">
        <v>0</v>
      </c>
      <c r="F228">
        <v>881</v>
      </c>
      <c r="G228">
        <v>6167</v>
      </c>
      <c r="H228" t="s">
        <v>1315</v>
      </c>
    </row>
    <row r="229" spans="1:8" x14ac:dyDescent="0.3">
      <c r="A229" t="s">
        <v>235</v>
      </c>
      <c r="B229" t="s">
        <v>969</v>
      </c>
      <c r="C229" t="s">
        <v>1273</v>
      </c>
      <c r="D229" t="s">
        <v>1289</v>
      </c>
      <c r="E229">
        <v>7</v>
      </c>
      <c r="F229">
        <v>29</v>
      </c>
      <c r="G229">
        <v>203</v>
      </c>
      <c r="H229" t="s">
        <v>1314</v>
      </c>
    </row>
    <row r="230" spans="1:8" x14ac:dyDescent="0.3">
      <c r="A230" t="s">
        <v>236</v>
      </c>
      <c r="B230" t="s">
        <v>1085</v>
      </c>
      <c r="C230" t="s">
        <v>1282</v>
      </c>
      <c r="D230" t="s">
        <v>1290</v>
      </c>
      <c r="E230">
        <v>6</v>
      </c>
      <c r="F230">
        <v>703</v>
      </c>
      <c r="G230">
        <v>4218</v>
      </c>
      <c r="H230" t="s">
        <v>1315</v>
      </c>
    </row>
    <row r="231" spans="1:8" x14ac:dyDescent="0.3">
      <c r="A231" t="s">
        <v>237</v>
      </c>
      <c r="B231" t="s">
        <v>960</v>
      </c>
      <c r="C231" t="s">
        <v>1275</v>
      </c>
      <c r="D231" t="s">
        <v>1289</v>
      </c>
      <c r="E231">
        <v>6</v>
      </c>
      <c r="F231">
        <v>125</v>
      </c>
      <c r="G231">
        <v>750</v>
      </c>
      <c r="H231" t="s">
        <v>1313</v>
      </c>
    </row>
    <row r="232" spans="1:8" x14ac:dyDescent="0.3">
      <c r="A232" t="s">
        <v>238</v>
      </c>
      <c r="B232" t="s">
        <v>1086</v>
      </c>
      <c r="C232" t="s">
        <v>1282</v>
      </c>
      <c r="D232" t="s">
        <v>1290</v>
      </c>
      <c r="E232">
        <v>1</v>
      </c>
      <c r="F232">
        <v>649</v>
      </c>
      <c r="G232">
        <v>649</v>
      </c>
      <c r="H232" t="s">
        <v>1315</v>
      </c>
    </row>
    <row r="233" spans="1:8" x14ac:dyDescent="0.3">
      <c r="A233" t="s">
        <v>239</v>
      </c>
      <c r="B233" t="s">
        <v>1087</v>
      </c>
      <c r="C233" t="s">
        <v>1274</v>
      </c>
      <c r="D233" t="s">
        <v>1290</v>
      </c>
      <c r="E233">
        <v>2</v>
      </c>
      <c r="F233">
        <v>665</v>
      </c>
      <c r="G233">
        <v>1330</v>
      </c>
      <c r="H233" t="s">
        <v>1315</v>
      </c>
    </row>
    <row r="234" spans="1:8" x14ac:dyDescent="0.3">
      <c r="A234" t="s">
        <v>240</v>
      </c>
      <c r="B234" t="s">
        <v>1088</v>
      </c>
      <c r="C234" t="s">
        <v>1275</v>
      </c>
      <c r="D234" t="s">
        <v>1289</v>
      </c>
      <c r="E234">
        <v>2</v>
      </c>
      <c r="F234">
        <v>158</v>
      </c>
      <c r="G234">
        <v>316</v>
      </c>
      <c r="H234" t="s">
        <v>1314</v>
      </c>
    </row>
    <row r="235" spans="1:8" x14ac:dyDescent="0.3">
      <c r="A235" t="s">
        <v>241</v>
      </c>
      <c r="B235" t="s">
        <v>1089</v>
      </c>
      <c r="C235" t="s">
        <v>1277</v>
      </c>
      <c r="D235" t="s">
        <v>1291</v>
      </c>
      <c r="E235">
        <v>8</v>
      </c>
      <c r="F235">
        <v>133</v>
      </c>
      <c r="G235">
        <v>1064</v>
      </c>
      <c r="H235" t="s">
        <v>1313</v>
      </c>
    </row>
    <row r="236" spans="1:8" x14ac:dyDescent="0.3">
      <c r="A236" t="s">
        <v>242</v>
      </c>
      <c r="B236" t="s">
        <v>1090</v>
      </c>
      <c r="C236" t="s">
        <v>1279</v>
      </c>
      <c r="D236" t="s">
        <v>1289</v>
      </c>
      <c r="E236">
        <v>7</v>
      </c>
      <c r="F236">
        <v>479</v>
      </c>
      <c r="G236">
        <v>3353</v>
      </c>
      <c r="H236" t="s">
        <v>1316</v>
      </c>
    </row>
    <row r="237" spans="1:8" x14ac:dyDescent="0.3">
      <c r="A237" t="s">
        <v>243</v>
      </c>
      <c r="B237" t="s">
        <v>1091</v>
      </c>
      <c r="C237" t="s">
        <v>1279</v>
      </c>
      <c r="D237" t="s">
        <v>1289</v>
      </c>
      <c r="E237">
        <v>7</v>
      </c>
      <c r="F237">
        <v>685</v>
      </c>
      <c r="G237">
        <v>4795</v>
      </c>
      <c r="H237" t="s">
        <v>1316</v>
      </c>
    </row>
    <row r="238" spans="1:8" x14ac:dyDescent="0.3">
      <c r="A238" t="s">
        <v>244</v>
      </c>
      <c r="B238" t="s">
        <v>940</v>
      </c>
      <c r="C238" t="s">
        <v>1275</v>
      </c>
      <c r="D238" t="s">
        <v>1289</v>
      </c>
      <c r="E238">
        <v>5</v>
      </c>
      <c r="F238">
        <v>48</v>
      </c>
      <c r="G238">
        <v>240</v>
      </c>
      <c r="H238" t="s">
        <v>1315</v>
      </c>
    </row>
    <row r="239" spans="1:8" x14ac:dyDescent="0.3">
      <c r="A239" t="s">
        <v>245</v>
      </c>
      <c r="B239" t="s">
        <v>996</v>
      </c>
      <c r="C239" t="s">
        <v>1274</v>
      </c>
      <c r="D239" t="s">
        <v>1290</v>
      </c>
      <c r="E239">
        <v>8</v>
      </c>
      <c r="F239">
        <v>470</v>
      </c>
      <c r="G239">
        <v>3760</v>
      </c>
      <c r="H239" t="s">
        <v>1315</v>
      </c>
    </row>
    <row r="240" spans="1:8" x14ac:dyDescent="0.3">
      <c r="A240" t="s">
        <v>246</v>
      </c>
      <c r="B240" t="s">
        <v>1092</v>
      </c>
      <c r="C240" t="s">
        <v>1273</v>
      </c>
      <c r="D240" t="s">
        <v>1289</v>
      </c>
      <c r="E240">
        <v>6</v>
      </c>
      <c r="F240">
        <v>572</v>
      </c>
      <c r="G240">
        <v>3432</v>
      </c>
      <c r="H240" t="s">
        <v>1315</v>
      </c>
    </row>
    <row r="241" spans="1:8" x14ac:dyDescent="0.3">
      <c r="A241" t="s">
        <v>247</v>
      </c>
      <c r="B241" t="s">
        <v>951</v>
      </c>
      <c r="C241" t="s">
        <v>1276</v>
      </c>
      <c r="D241" t="s">
        <v>1290</v>
      </c>
      <c r="E241">
        <v>7</v>
      </c>
      <c r="F241">
        <v>297</v>
      </c>
      <c r="G241">
        <v>2079</v>
      </c>
      <c r="H241" t="s">
        <v>1314</v>
      </c>
    </row>
    <row r="242" spans="1:8" x14ac:dyDescent="0.3">
      <c r="A242" t="s">
        <v>248</v>
      </c>
      <c r="B242" t="s">
        <v>925</v>
      </c>
      <c r="C242" t="s">
        <v>1282</v>
      </c>
      <c r="D242" t="s">
        <v>1290</v>
      </c>
      <c r="E242">
        <v>2</v>
      </c>
      <c r="F242" t="s">
        <v>1300</v>
      </c>
      <c r="G242">
        <v>1386</v>
      </c>
      <c r="H242" t="s">
        <v>1314</v>
      </c>
    </row>
    <row r="243" spans="1:8" x14ac:dyDescent="0.3">
      <c r="A243" t="s">
        <v>249</v>
      </c>
      <c r="B243" t="s">
        <v>1065</v>
      </c>
      <c r="C243" t="s">
        <v>1276</v>
      </c>
      <c r="D243" t="s">
        <v>1290</v>
      </c>
      <c r="E243">
        <v>6</v>
      </c>
      <c r="F243">
        <v>264</v>
      </c>
      <c r="G243">
        <v>1584</v>
      </c>
      <c r="H243" t="s">
        <v>1313</v>
      </c>
    </row>
    <row r="244" spans="1:8" x14ac:dyDescent="0.3">
      <c r="A244" t="s">
        <v>250</v>
      </c>
      <c r="B244" t="s">
        <v>1075</v>
      </c>
      <c r="C244" t="s">
        <v>1273</v>
      </c>
      <c r="D244" t="s">
        <v>1289</v>
      </c>
      <c r="E244">
        <v>9</v>
      </c>
      <c r="F244">
        <v>227</v>
      </c>
      <c r="G244">
        <v>2043</v>
      </c>
      <c r="H244" t="s">
        <v>1313</v>
      </c>
    </row>
    <row r="245" spans="1:8" x14ac:dyDescent="0.3">
      <c r="A245" t="s">
        <v>251</v>
      </c>
      <c r="B245" t="s">
        <v>998</v>
      </c>
      <c r="C245" t="s">
        <v>1274</v>
      </c>
      <c r="D245" t="s">
        <v>1290</v>
      </c>
      <c r="E245">
        <v>6</v>
      </c>
      <c r="F245">
        <v>807</v>
      </c>
      <c r="G245">
        <v>4842</v>
      </c>
      <c r="H245" t="s">
        <v>1314</v>
      </c>
    </row>
    <row r="246" spans="1:8" x14ac:dyDescent="0.3">
      <c r="A246" t="s">
        <v>252</v>
      </c>
      <c r="B246" t="s">
        <v>1052</v>
      </c>
      <c r="C246" t="s">
        <v>1277</v>
      </c>
      <c r="D246" t="s">
        <v>1289</v>
      </c>
      <c r="E246">
        <v>3</v>
      </c>
      <c r="F246">
        <v>148</v>
      </c>
      <c r="G246">
        <v>444</v>
      </c>
      <c r="H246" t="s">
        <v>1315</v>
      </c>
    </row>
    <row r="247" spans="1:8" x14ac:dyDescent="0.3">
      <c r="A247" t="s">
        <v>253</v>
      </c>
      <c r="B247" t="s">
        <v>911</v>
      </c>
      <c r="C247" t="s">
        <v>1279</v>
      </c>
      <c r="D247" t="s">
        <v>1289</v>
      </c>
      <c r="E247">
        <v>2</v>
      </c>
      <c r="F247">
        <v>691</v>
      </c>
      <c r="G247">
        <v>1382</v>
      </c>
      <c r="H247" t="s">
        <v>1313</v>
      </c>
    </row>
    <row r="248" spans="1:8" x14ac:dyDescent="0.3">
      <c r="A248" t="s">
        <v>254</v>
      </c>
      <c r="B248" t="s">
        <v>1076</v>
      </c>
      <c r="C248" t="s">
        <v>1276</v>
      </c>
      <c r="D248" t="s">
        <v>1290</v>
      </c>
      <c r="E248">
        <v>6</v>
      </c>
      <c r="F248">
        <v>823</v>
      </c>
      <c r="G248">
        <v>4938</v>
      </c>
      <c r="H248" t="s">
        <v>1315</v>
      </c>
    </row>
    <row r="249" spans="1:8" x14ac:dyDescent="0.3">
      <c r="A249" t="s">
        <v>255</v>
      </c>
      <c r="B249" t="s">
        <v>972</v>
      </c>
      <c r="C249" t="s">
        <v>1276</v>
      </c>
      <c r="D249" t="s">
        <v>1290</v>
      </c>
      <c r="E249">
        <v>3</v>
      </c>
      <c r="F249">
        <v>286</v>
      </c>
      <c r="G249">
        <v>858</v>
      </c>
      <c r="H249" t="s">
        <v>1313</v>
      </c>
    </row>
    <row r="250" spans="1:8" x14ac:dyDescent="0.3">
      <c r="A250" t="s">
        <v>256</v>
      </c>
      <c r="B250" t="s">
        <v>1093</v>
      </c>
      <c r="C250" t="s">
        <v>1275</v>
      </c>
      <c r="D250" t="s">
        <v>1289</v>
      </c>
      <c r="E250">
        <v>9</v>
      </c>
      <c r="F250">
        <v>131</v>
      </c>
      <c r="G250">
        <v>1179</v>
      </c>
      <c r="H250" t="s">
        <v>1316</v>
      </c>
    </row>
    <row r="251" spans="1:8" x14ac:dyDescent="0.3">
      <c r="A251" t="s">
        <v>257</v>
      </c>
      <c r="B251" t="s">
        <v>1029</v>
      </c>
      <c r="C251" t="s">
        <v>1282</v>
      </c>
      <c r="D251" t="s">
        <v>1290</v>
      </c>
      <c r="E251">
        <v>6</v>
      </c>
      <c r="F251">
        <v>540</v>
      </c>
      <c r="G251">
        <v>3240</v>
      </c>
      <c r="H251" t="s">
        <v>1314</v>
      </c>
    </row>
    <row r="252" spans="1:8" x14ac:dyDescent="0.3">
      <c r="A252" t="s">
        <v>258</v>
      </c>
      <c r="B252" t="s">
        <v>1094</v>
      </c>
      <c r="C252" t="s">
        <v>1282</v>
      </c>
      <c r="D252" t="s">
        <v>1290</v>
      </c>
      <c r="E252">
        <v>9</v>
      </c>
      <c r="F252">
        <v>241</v>
      </c>
      <c r="G252">
        <v>2169</v>
      </c>
      <c r="H252" t="s">
        <v>1314</v>
      </c>
    </row>
    <row r="253" spans="1:8" x14ac:dyDescent="0.3">
      <c r="A253" t="s">
        <v>259</v>
      </c>
      <c r="B253" t="s">
        <v>1019</v>
      </c>
      <c r="C253" t="s">
        <v>1277</v>
      </c>
      <c r="D253" t="s">
        <v>1289</v>
      </c>
      <c r="E253">
        <v>8</v>
      </c>
      <c r="F253">
        <v>673</v>
      </c>
      <c r="G253">
        <v>5384</v>
      </c>
      <c r="H253" t="s">
        <v>1314</v>
      </c>
    </row>
    <row r="254" spans="1:8" x14ac:dyDescent="0.3">
      <c r="A254" t="s">
        <v>260</v>
      </c>
      <c r="B254" t="s">
        <v>971</v>
      </c>
      <c r="C254" t="s">
        <v>1282</v>
      </c>
      <c r="D254" t="s">
        <v>1290</v>
      </c>
      <c r="E254">
        <v>7</v>
      </c>
      <c r="F254">
        <v>451</v>
      </c>
      <c r="G254">
        <v>3157</v>
      </c>
      <c r="H254" t="s">
        <v>1314</v>
      </c>
    </row>
    <row r="255" spans="1:8" x14ac:dyDescent="0.3">
      <c r="A255" t="s">
        <v>261</v>
      </c>
      <c r="B255" t="s">
        <v>959</v>
      </c>
      <c r="C255" t="s">
        <v>1282</v>
      </c>
      <c r="D255" t="s">
        <v>1290</v>
      </c>
      <c r="E255">
        <v>8</v>
      </c>
      <c r="F255">
        <v>90</v>
      </c>
      <c r="G255">
        <v>720</v>
      </c>
      <c r="H255" t="s">
        <v>1315</v>
      </c>
    </row>
    <row r="256" spans="1:8" x14ac:dyDescent="0.3">
      <c r="A256" t="s">
        <v>262</v>
      </c>
      <c r="B256" t="s">
        <v>908</v>
      </c>
      <c r="C256" t="s">
        <v>1279</v>
      </c>
      <c r="D256" t="s">
        <v>1289</v>
      </c>
      <c r="E256">
        <v>2</v>
      </c>
      <c r="F256">
        <v>144</v>
      </c>
      <c r="G256">
        <v>288</v>
      </c>
      <c r="H256" t="s">
        <v>1315</v>
      </c>
    </row>
    <row r="257" spans="1:8" x14ac:dyDescent="0.3">
      <c r="A257" t="s">
        <v>263</v>
      </c>
      <c r="B257" t="s">
        <v>917</v>
      </c>
      <c r="C257" t="s">
        <v>1275</v>
      </c>
      <c r="D257" t="s">
        <v>1289</v>
      </c>
      <c r="E257">
        <v>10</v>
      </c>
      <c r="F257">
        <v>558</v>
      </c>
      <c r="G257">
        <v>5580</v>
      </c>
      <c r="H257" t="s">
        <v>1316</v>
      </c>
    </row>
    <row r="258" spans="1:8" x14ac:dyDescent="0.3">
      <c r="A258" t="s">
        <v>264</v>
      </c>
      <c r="B258" t="s">
        <v>981</v>
      </c>
      <c r="C258" t="s">
        <v>1275</v>
      </c>
      <c r="D258" t="s">
        <v>1289</v>
      </c>
      <c r="E258">
        <v>2</v>
      </c>
      <c r="F258" t="s">
        <v>1301</v>
      </c>
      <c r="G258">
        <v>1654</v>
      </c>
      <c r="H258" t="s">
        <v>1314</v>
      </c>
    </row>
    <row r="259" spans="1:8" x14ac:dyDescent="0.3">
      <c r="A259" t="s">
        <v>265</v>
      </c>
      <c r="B259" t="s">
        <v>1095</v>
      </c>
      <c r="C259" t="s">
        <v>1274</v>
      </c>
      <c r="D259" t="s">
        <v>1292</v>
      </c>
      <c r="E259">
        <v>7</v>
      </c>
      <c r="F259">
        <v>477</v>
      </c>
      <c r="G259">
        <v>3339</v>
      </c>
      <c r="H259" t="s">
        <v>1316</v>
      </c>
    </row>
    <row r="260" spans="1:8" x14ac:dyDescent="0.3">
      <c r="A260" t="s">
        <v>266</v>
      </c>
      <c r="B260" t="s">
        <v>1008</v>
      </c>
      <c r="C260" t="s">
        <v>1280</v>
      </c>
      <c r="D260" t="s">
        <v>1290</v>
      </c>
      <c r="E260">
        <v>0</v>
      </c>
      <c r="F260">
        <v>423</v>
      </c>
      <c r="G260">
        <v>3384</v>
      </c>
      <c r="H260" t="s">
        <v>1314</v>
      </c>
    </row>
    <row r="261" spans="1:8" x14ac:dyDescent="0.3">
      <c r="A261" t="s">
        <v>267</v>
      </c>
      <c r="B261" t="s">
        <v>992</v>
      </c>
      <c r="C261" t="s">
        <v>1280</v>
      </c>
      <c r="D261" t="s">
        <v>1290</v>
      </c>
      <c r="E261">
        <v>7</v>
      </c>
      <c r="F261">
        <v>335</v>
      </c>
      <c r="G261">
        <v>2345</v>
      </c>
      <c r="H261" t="s">
        <v>1315</v>
      </c>
    </row>
    <row r="262" spans="1:8" x14ac:dyDescent="0.3">
      <c r="A262" t="s">
        <v>268</v>
      </c>
      <c r="B262" t="s">
        <v>947</v>
      </c>
      <c r="C262" t="s">
        <v>1280</v>
      </c>
      <c r="D262" t="s">
        <v>1290</v>
      </c>
      <c r="E262">
        <v>3</v>
      </c>
      <c r="F262">
        <v>718</v>
      </c>
      <c r="G262">
        <v>2154</v>
      </c>
      <c r="H262" t="s">
        <v>1314</v>
      </c>
    </row>
    <row r="263" spans="1:8" x14ac:dyDescent="0.3">
      <c r="A263" t="s">
        <v>269</v>
      </c>
      <c r="B263" t="s">
        <v>1028</v>
      </c>
      <c r="C263" t="s">
        <v>1273</v>
      </c>
      <c r="D263" t="s">
        <v>1289</v>
      </c>
      <c r="E263">
        <v>2</v>
      </c>
      <c r="F263">
        <v>110</v>
      </c>
      <c r="G263">
        <v>220</v>
      </c>
      <c r="H263" t="s">
        <v>1314</v>
      </c>
    </row>
    <row r="264" spans="1:8" x14ac:dyDescent="0.3">
      <c r="A264" t="s">
        <v>270</v>
      </c>
      <c r="B264" t="s">
        <v>1096</v>
      </c>
      <c r="C264" t="s">
        <v>1288</v>
      </c>
      <c r="D264" t="s">
        <v>1290</v>
      </c>
      <c r="E264">
        <v>3</v>
      </c>
      <c r="F264">
        <v>584</v>
      </c>
      <c r="G264">
        <v>1752</v>
      </c>
      <c r="H264" t="s">
        <v>1315</v>
      </c>
    </row>
    <row r="265" spans="1:8" x14ac:dyDescent="0.3">
      <c r="A265" t="s">
        <v>271</v>
      </c>
      <c r="B265" t="s">
        <v>992</v>
      </c>
      <c r="C265" t="s">
        <v>1273</v>
      </c>
      <c r="D265" t="s">
        <v>1289</v>
      </c>
      <c r="E265">
        <v>7</v>
      </c>
      <c r="F265">
        <v>377</v>
      </c>
      <c r="G265">
        <v>2639</v>
      </c>
      <c r="H265" t="s">
        <v>1316</v>
      </c>
    </row>
    <row r="266" spans="1:8" x14ac:dyDescent="0.3">
      <c r="A266" t="s">
        <v>272</v>
      </c>
      <c r="B266" t="s">
        <v>1097</v>
      </c>
      <c r="C266" t="s">
        <v>1276</v>
      </c>
      <c r="D266" t="s">
        <v>1292</v>
      </c>
      <c r="E266">
        <v>5</v>
      </c>
      <c r="F266">
        <v>629</v>
      </c>
      <c r="G266">
        <v>3145</v>
      </c>
      <c r="H266" t="s">
        <v>1315</v>
      </c>
    </row>
    <row r="267" spans="1:8" x14ac:dyDescent="0.3">
      <c r="A267" t="s">
        <v>273</v>
      </c>
      <c r="B267" t="s">
        <v>925</v>
      </c>
      <c r="C267" t="s">
        <v>1273</v>
      </c>
      <c r="D267" t="s">
        <v>1289</v>
      </c>
      <c r="E267">
        <v>10</v>
      </c>
      <c r="F267">
        <v>534</v>
      </c>
      <c r="G267">
        <v>5340</v>
      </c>
      <c r="H267" t="s">
        <v>1313</v>
      </c>
    </row>
    <row r="268" spans="1:8" x14ac:dyDescent="0.3">
      <c r="A268" t="s">
        <v>274</v>
      </c>
      <c r="B268" t="s">
        <v>1023</v>
      </c>
      <c r="C268" t="s">
        <v>1282</v>
      </c>
      <c r="D268" t="s">
        <v>1290</v>
      </c>
      <c r="E268">
        <v>4</v>
      </c>
      <c r="F268">
        <v>882</v>
      </c>
      <c r="G268">
        <v>3528</v>
      </c>
      <c r="H268" t="s">
        <v>1315</v>
      </c>
    </row>
    <row r="269" spans="1:8" x14ac:dyDescent="0.3">
      <c r="A269" t="s">
        <v>275</v>
      </c>
      <c r="B269" t="s">
        <v>952</v>
      </c>
      <c r="C269" t="s">
        <v>1280</v>
      </c>
      <c r="D269" t="s">
        <v>1290</v>
      </c>
      <c r="E269">
        <v>2</v>
      </c>
      <c r="F269">
        <v>795</v>
      </c>
      <c r="G269">
        <v>1590</v>
      </c>
      <c r="H269" t="s">
        <v>1313</v>
      </c>
    </row>
    <row r="270" spans="1:8" x14ac:dyDescent="0.3">
      <c r="A270" t="s">
        <v>276</v>
      </c>
      <c r="B270" t="s">
        <v>1013</v>
      </c>
      <c r="C270" t="s">
        <v>1275</v>
      </c>
      <c r="D270" t="s">
        <v>1289</v>
      </c>
      <c r="E270">
        <v>9</v>
      </c>
      <c r="F270">
        <v>800</v>
      </c>
      <c r="G270">
        <v>7200</v>
      </c>
      <c r="H270" t="s">
        <v>1314</v>
      </c>
    </row>
    <row r="271" spans="1:8" x14ac:dyDescent="0.3">
      <c r="A271" t="s">
        <v>277</v>
      </c>
      <c r="B271" t="s">
        <v>970</v>
      </c>
      <c r="C271" t="s">
        <v>1277</v>
      </c>
      <c r="D271" t="s">
        <v>1289</v>
      </c>
      <c r="E271">
        <v>1</v>
      </c>
      <c r="F271">
        <v>199</v>
      </c>
      <c r="G271">
        <v>199</v>
      </c>
      <c r="H271" t="s">
        <v>1315</v>
      </c>
    </row>
    <row r="272" spans="1:8" x14ac:dyDescent="0.3">
      <c r="A272" t="s">
        <v>278</v>
      </c>
      <c r="B272" t="s">
        <v>1073</v>
      </c>
      <c r="C272" t="s">
        <v>1280</v>
      </c>
      <c r="D272" t="s">
        <v>1290</v>
      </c>
      <c r="E272">
        <v>6</v>
      </c>
      <c r="F272">
        <v>21</v>
      </c>
      <c r="G272">
        <v>126</v>
      </c>
      <c r="H272" t="s">
        <v>1313</v>
      </c>
    </row>
    <row r="273" spans="1:8" x14ac:dyDescent="0.3">
      <c r="A273" t="s">
        <v>279</v>
      </c>
      <c r="B273" t="s">
        <v>1098</v>
      </c>
      <c r="C273" t="s">
        <v>1275</v>
      </c>
      <c r="D273" t="s">
        <v>1289</v>
      </c>
      <c r="E273">
        <v>2</v>
      </c>
      <c r="F273">
        <v>160</v>
      </c>
      <c r="G273">
        <v>320</v>
      </c>
      <c r="H273" t="s">
        <v>1314</v>
      </c>
    </row>
    <row r="274" spans="1:8" x14ac:dyDescent="0.3">
      <c r="A274" t="s">
        <v>280</v>
      </c>
      <c r="B274" t="s">
        <v>1024</v>
      </c>
      <c r="C274" t="s">
        <v>1273</v>
      </c>
      <c r="D274" t="s">
        <v>1289</v>
      </c>
      <c r="E274">
        <v>9</v>
      </c>
      <c r="F274">
        <v>235</v>
      </c>
      <c r="G274">
        <v>2115</v>
      </c>
      <c r="H274" t="s">
        <v>1316</v>
      </c>
    </row>
    <row r="275" spans="1:8" x14ac:dyDescent="0.3">
      <c r="A275" t="s">
        <v>281</v>
      </c>
      <c r="B275" t="s">
        <v>1090</v>
      </c>
      <c r="C275" t="s">
        <v>1282</v>
      </c>
      <c r="D275" t="s">
        <v>1290</v>
      </c>
      <c r="E275">
        <v>6</v>
      </c>
      <c r="F275">
        <v>176</v>
      </c>
      <c r="G275">
        <v>1056</v>
      </c>
      <c r="H275" t="s">
        <v>1315</v>
      </c>
    </row>
    <row r="276" spans="1:8" x14ac:dyDescent="0.3">
      <c r="A276" t="s">
        <v>282</v>
      </c>
      <c r="B276" t="s">
        <v>995</v>
      </c>
      <c r="C276" t="s">
        <v>1280</v>
      </c>
      <c r="D276" t="s">
        <v>1290</v>
      </c>
      <c r="E276">
        <v>10</v>
      </c>
      <c r="F276">
        <v>625</v>
      </c>
      <c r="G276">
        <v>6250</v>
      </c>
      <c r="H276" t="s">
        <v>1314</v>
      </c>
    </row>
    <row r="277" spans="1:8" x14ac:dyDescent="0.3">
      <c r="A277" t="s">
        <v>283</v>
      </c>
      <c r="B277" t="s">
        <v>1099</v>
      </c>
      <c r="C277" t="s">
        <v>1279</v>
      </c>
      <c r="D277" t="s">
        <v>1289</v>
      </c>
      <c r="E277">
        <v>3</v>
      </c>
      <c r="F277">
        <v>787</v>
      </c>
      <c r="G277">
        <v>2361</v>
      </c>
      <c r="H277" t="s">
        <v>1314</v>
      </c>
    </row>
    <row r="278" spans="1:8" x14ac:dyDescent="0.3">
      <c r="A278" t="s">
        <v>284</v>
      </c>
      <c r="B278" t="s">
        <v>918</v>
      </c>
      <c r="C278" t="s">
        <v>1273</v>
      </c>
      <c r="D278" t="s">
        <v>1289</v>
      </c>
      <c r="E278">
        <v>5</v>
      </c>
      <c r="F278">
        <v>468</v>
      </c>
      <c r="G278">
        <v>2340</v>
      </c>
      <c r="H278" t="s">
        <v>1316</v>
      </c>
    </row>
    <row r="279" spans="1:8" x14ac:dyDescent="0.3">
      <c r="A279" t="s">
        <v>285</v>
      </c>
      <c r="B279" t="s">
        <v>1008</v>
      </c>
      <c r="C279" t="s">
        <v>1282</v>
      </c>
      <c r="D279" t="s">
        <v>1290</v>
      </c>
      <c r="E279">
        <v>10</v>
      </c>
      <c r="F279">
        <v>467</v>
      </c>
      <c r="G279">
        <v>4670</v>
      </c>
      <c r="H279" t="s">
        <v>1315</v>
      </c>
    </row>
    <row r="280" spans="1:8" x14ac:dyDescent="0.3">
      <c r="A280" t="s">
        <v>286</v>
      </c>
      <c r="B280" t="s">
        <v>1100</v>
      </c>
      <c r="C280" t="s">
        <v>1274</v>
      </c>
      <c r="D280" t="s">
        <v>1290</v>
      </c>
      <c r="E280">
        <v>9</v>
      </c>
      <c r="F280">
        <v>131</v>
      </c>
      <c r="G280">
        <v>1179</v>
      </c>
      <c r="H280" t="s">
        <v>1316</v>
      </c>
    </row>
    <row r="281" spans="1:8" x14ac:dyDescent="0.3">
      <c r="A281" t="s">
        <v>287</v>
      </c>
      <c r="B281" t="s">
        <v>986</v>
      </c>
      <c r="C281" t="s">
        <v>1273</v>
      </c>
      <c r="D281" t="s">
        <v>1289</v>
      </c>
      <c r="E281">
        <v>5</v>
      </c>
      <c r="F281">
        <v>709</v>
      </c>
      <c r="G281">
        <v>3545</v>
      </c>
      <c r="H281" t="s">
        <v>1316</v>
      </c>
    </row>
    <row r="282" spans="1:8" x14ac:dyDescent="0.3">
      <c r="A282" t="s">
        <v>288</v>
      </c>
      <c r="B282" t="s">
        <v>1101</v>
      </c>
      <c r="C282" t="s">
        <v>1277</v>
      </c>
      <c r="D282" t="s">
        <v>1289</v>
      </c>
      <c r="E282">
        <v>1</v>
      </c>
      <c r="F282">
        <v>240</v>
      </c>
      <c r="G282">
        <v>240</v>
      </c>
      <c r="H282" t="s">
        <v>1314</v>
      </c>
    </row>
    <row r="283" spans="1:8" x14ac:dyDescent="0.3">
      <c r="A283" t="s">
        <v>289</v>
      </c>
      <c r="B283" t="s">
        <v>925</v>
      </c>
      <c r="C283" t="s">
        <v>1276</v>
      </c>
      <c r="D283" t="s">
        <v>1290</v>
      </c>
      <c r="E283">
        <v>4</v>
      </c>
      <c r="F283">
        <v>323</v>
      </c>
      <c r="G283">
        <v>1292</v>
      </c>
      <c r="H283" t="s">
        <v>1313</v>
      </c>
    </row>
    <row r="284" spans="1:8" x14ac:dyDescent="0.3">
      <c r="A284" t="s">
        <v>290</v>
      </c>
      <c r="B284" t="s">
        <v>942</v>
      </c>
      <c r="C284" t="s">
        <v>1277</v>
      </c>
      <c r="D284" t="s">
        <v>1289</v>
      </c>
      <c r="E284">
        <v>5</v>
      </c>
      <c r="F284">
        <v>350</v>
      </c>
      <c r="G284">
        <v>1750</v>
      </c>
      <c r="H284" t="s">
        <v>1314</v>
      </c>
    </row>
    <row r="285" spans="1:8" x14ac:dyDescent="0.3">
      <c r="A285" t="s">
        <v>291</v>
      </c>
      <c r="B285" t="s">
        <v>1102</v>
      </c>
      <c r="C285" t="s">
        <v>1282</v>
      </c>
      <c r="D285" t="s">
        <v>1290</v>
      </c>
      <c r="E285">
        <v>7</v>
      </c>
      <c r="F285">
        <v>194</v>
      </c>
      <c r="G285">
        <v>1358</v>
      </c>
      <c r="H285" t="s">
        <v>1316</v>
      </c>
    </row>
    <row r="286" spans="1:8" x14ac:dyDescent="0.3">
      <c r="A286" t="s">
        <v>292</v>
      </c>
      <c r="B286" t="s">
        <v>1012</v>
      </c>
      <c r="C286" t="s">
        <v>1274</v>
      </c>
      <c r="D286" t="s">
        <v>1290</v>
      </c>
      <c r="E286">
        <v>9</v>
      </c>
      <c r="F286">
        <v>587</v>
      </c>
      <c r="G286">
        <v>5283</v>
      </c>
      <c r="H286" t="s">
        <v>1315</v>
      </c>
    </row>
    <row r="287" spans="1:8" x14ac:dyDescent="0.3">
      <c r="A287" t="s">
        <v>293</v>
      </c>
      <c r="B287" t="s">
        <v>1103</v>
      </c>
      <c r="C287" t="s">
        <v>1273</v>
      </c>
      <c r="D287" t="s">
        <v>1289</v>
      </c>
      <c r="E287">
        <v>7</v>
      </c>
      <c r="F287">
        <v>897</v>
      </c>
      <c r="G287">
        <v>6279</v>
      </c>
      <c r="H287" t="s">
        <v>1316</v>
      </c>
    </row>
    <row r="288" spans="1:8" x14ac:dyDescent="0.3">
      <c r="A288" t="s">
        <v>294</v>
      </c>
      <c r="B288" t="s">
        <v>962</v>
      </c>
      <c r="C288" t="s">
        <v>1276</v>
      </c>
      <c r="D288" t="s">
        <v>1290</v>
      </c>
      <c r="E288">
        <v>8</v>
      </c>
      <c r="F288">
        <v>94</v>
      </c>
      <c r="G288">
        <v>752</v>
      </c>
      <c r="H288" t="s">
        <v>1316</v>
      </c>
    </row>
    <row r="289" spans="1:8" x14ac:dyDescent="0.3">
      <c r="A289" t="s">
        <v>295</v>
      </c>
      <c r="B289" t="s">
        <v>1021</v>
      </c>
      <c r="C289" t="s">
        <v>1275</v>
      </c>
      <c r="D289" t="s">
        <v>1289</v>
      </c>
      <c r="E289">
        <v>7</v>
      </c>
      <c r="F289">
        <v>311</v>
      </c>
      <c r="G289">
        <v>2177</v>
      </c>
      <c r="H289" t="s">
        <v>1316</v>
      </c>
    </row>
    <row r="290" spans="1:8" x14ac:dyDescent="0.3">
      <c r="A290" t="s">
        <v>296</v>
      </c>
      <c r="B290" t="s">
        <v>1104</v>
      </c>
      <c r="C290" t="s">
        <v>1276</v>
      </c>
      <c r="D290" t="s">
        <v>1290</v>
      </c>
      <c r="E290">
        <v>6</v>
      </c>
      <c r="F290">
        <v>190</v>
      </c>
      <c r="G290">
        <v>1140</v>
      </c>
      <c r="H290" t="s">
        <v>1316</v>
      </c>
    </row>
    <row r="291" spans="1:8" x14ac:dyDescent="0.3">
      <c r="A291" t="s">
        <v>297</v>
      </c>
      <c r="B291" t="s">
        <v>1105</v>
      </c>
      <c r="C291" t="s">
        <v>1288</v>
      </c>
      <c r="D291" t="s">
        <v>1290</v>
      </c>
      <c r="E291">
        <v>2</v>
      </c>
      <c r="F291">
        <v>462</v>
      </c>
      <c r="G291">
        <v>924</v>
      </c>
      <c r="H291" t="s">
        <v>1313</v>
      </c>
    </row>
    <row r="292" spans="1:8" x14ac:dyDescent="0.3">
      <c r="A292" t="s">
        <v>298</v>
      </c>
      <c r="B292" t="s">
        <v>1106</v>
      </c>
      <c r="C292" t="s">
        <v>1275</v>
      </c>
      <c r="D292" t="s">
        <v>1289</v>
      </c>
      <c r="E292">
        <v>10</v>
      </c>
      <c r="F292">
        <v>425</v>
      </c>
      <c r="G292">
        <v>4250</v>
      </c>
      <c r="H292" t="s">
        <v>1314</v>
      </c>
    </row>
    <row r="293" spans="1:8" x14ac:dyDescent="0.3">
      <c r="A293" t="s">
        <v>299</v>
      </c>
      <c r="B293" t="s">
        <v>1107</v>
      </c>
      <c r="C293" t="s">
        <v>1275</v>
      </c>
      <c r="D293" t="s">
        <v>1289</v>
      </c>
      <c r="E293">
        <v>5</v>
      </c>
      <c r="F293" t="s">
        <v>1302</v>
      </c>
      <c r="G293">
        <v>3890</v>
      </c>
      <c r="H293" t="s">
        <v>1313</v>
      </c>
    </row>
    <row r="294" spans="1:8" x14ac:dyDescent="0.3">
      <c r="A294" t="s">
        <v>300</v>
      </c>
      <c r="B294" t="s">
        <v>989</v>
      </c>
      <c r="C294" t="s">
        <v>1280</v>
      </c>
      <c r="D294" t="s">
        <v>1290</v>
      </c>
      <c r="E294">
        <v>3</v>
      </c>
      <c r="F294">
        <v>93</v>
      </c>
      <c r="G294">
        <v>279</v>
      </c>
      <c r="H294" t="s">
        <v>1314</v>
      </c>
    </row>
    <row r="295" spans="1:8" x14ac:dyDescent="0.3">
      <c r="A295" t="s">
        <v>301</v>
      </c>
      <c r="B295" t="s">
        <v>1092</v>
      </c>
      <c r="C295" t="s">
        <v>1274</v>
      </c>
      <c r="D295" t="s">
        <v>1290</v>
      </c>
      <c r="E295">
        <v>6</v>
      </c>
      <c r="F295">
        <v>374</v>
      </c>
      <c r="G295">
        <v>2244</v>
      </c>
      <c r="H295" t="s">
        <v>1313</v>
      </c>
    </row>
    <row r="296" spans="1:8" x14ac:dyDescent="0.3">
      <c r="A296" t="s">
        <v>302</v>
      </c>
      <c r="B296" t="s">
        <v>1108</v>
      </c>
      <c r="C296" t="s">
        <v>1274</v>
      </c>
      <c r="D296" t="s">
        <v>1290</v>
      </c>
      <c r="E296">
        <v>2</v>
      </c>
      <c r="F296">
        <v>164</v>
      </c>
      <c r="G296">
        <v>328</v>
      </c>
      <c r="H296" t="s">
        <v>1313</v>
      </c>
    </row>
    <row r="297" spans="1:8" x14ac:dyDescent="0.3">
      <c r="A297" t="s">
        <v>303</v>
      </c>
      <c r="B297" t="s">
        <v>1067</v>
      </c>
      <c r="C297" t="s">
        <v>1279</v>
      </c>
      <c r="D297" t="s">
        <v>1289</v>
      </c>
      <c r="E297">
        <v>10</v>
      </c>
      <c r="F297">
        <v>171</v>
      </c>
      <c r="G297">
        <v>1710</v>
      </c>
      <c r="H297" t="s">
        <v>1314</v>
      </c>
    </row>
    <row r="298" spans="1:8" x14ac:dyDescent="0.3">
      <c r="A298" t="s">
        <v>304</v>
      </c>
      <c r="B298" t="s">
        <v>1109</v>
      </c>
      <c r="C298" t="s">
        <v>1279</v>
      </c>
      <c r="D298" t="s">
        <v>1289</v>
      </c>
      <c r="E298">
        <v>8</v>
      </c>
      <c r="F298">
        <v>490</v>
      </c>
      <c r="G298">
        <v>3920</v>
      </c>
      <c r="H298" t="s">
        <v>1316</v>
      </c>
    </row>
    <row r="299" spans="1:8" x14ac:dyDescent="0.3">
      <c r="A299" t="s">
        <v>305</v>
      </c>
      <c r="B299" t="s">
        <v>1005</v>
      </c>
      <c r="C299" t="s">
        <v>1280</v>
      </c>
      <c r="D299" t="s">
        <v>1290</v>
      </c>
      <c r="E299">
        <v>6</v>
      </c>
      <c r="F299" t="s">
        <v>1303</v>
      </c>
      <c r="G299">
        <v>1014</v>
      </c>
      <c r="H299" t="s">
        <v>1314</v>
      </c>
    </row>
    <row r="300" spans="1:8" x14ac:dyDescent="0.3">
      <c r="A300" t="s">
        <v>306</v>
      </c>
      <c r="B300" t="s">
        <v>1110</v>
      </c>
      <c r="C300" t="s">
        <v>1282</v>
      </c>
      <c r="D300" t="s">
        <v>1290</v>
      </c>
      <c r="E300">
        <v>8</v>
      </c>
      <c r="F300">
        <v>661</v>
      </c>
      <c r="G300">
        <v>5288</v>
      </c>
      <c r="H300" t="s">
        <v>1315</v>
      </c>
    </row>
    <row r="301" spans="1:8" x14ac:dyDescent="0.3">
      <c r="A301" t="s">
        <v>307</v>
      </c>
      <c r="B301" t="s">
        <v>964</v>
      </c>
      <c r="C301" t="s">
        <v>1276</v>
      </c>
      <c r="D301" t="s">
        <v>1290</v>
      </c>
      <c r="E301">
        <v>6</v>
      </c>
      <c r="F301">
        <v>534</v>
      </c>
      <c r="G301">
        <v>3204</v>
      </c>
      <c r="H301" t="s">
        <v>1315</v>
      </c>
    </row>
    <row r="302" spans="1:8" x14ac:dyDescent="0.3">
      <c r="A302" t="s">
        <v>308</v>
      </c>
      <c r="B302" t="s">
        <v>957</v>
      </c>
      <c r="C302" t="s">
        <v>1282</v>
      </c>
      <c r="D302" t="s">
        <v>1290</v>
      </c>
      <c r="E302">
        <v>8</v>
      </c>
      <c r="F302">
        <v>53</v>
      </c>
      <c r="G302">
        <v>424</v>
      </c>
      <c r="H302" t="s">
        <v>1315</v>
      </c>
    </row>
    <row r="303" spans="1:8" x14ac:dyDescent="0.3">
      <c r="A303" t="s">
        <v>309</v>
      </c>
      <c r="B303" t="s">
        <v>929</v>
      </c>
      <c r="C303" t="s">
        <v>1277</v>
      </c>
      <c r="D303" t="s">
        <v>1289</v>
      </c>
      <c r="E303">
        <v>2</v>
      </c>
      <c r="F303">
        <v>675</v>
      </c>
      <c r="G303">
        <v>1350</v>
      </c>
      <c r="H303" t="s">
        <v>1316</v>
      </c>
    </row>
    <row r="304" spans="1:8" x14ac:dyDescent="0.3">
      <c r="A304" t="s">
        <v>310</v>
      </c>
      <c r="B304" t="s">
        <v>1111</v>
      </c>
      <c r="C304" t="s">
        <v>1282</v>
      </c>
      <c r="D304" t="s">
        <v>1290</v>
      </c>
      <c r="E304">
        <v>10</v>
      </c>
      <c r="F304">
        <v>582</v>
      </c>
      <c r="G304">
        <v>5820</v>
      </c>
      <c r="H304" t="s">
        <v>1316</v>
      </c>
    </row>
    <row r="305" spans="1:8" x14ac:dyDescent="0.3">
      <c r="A305" t="s">
        <v>311</v>
      </c>
      <c r="B305" t="s">
        <v>1003</v>
      </c>
      <c r="C305" t="s">
        <v>1283</v>
      </c>
      <c r="D305" t="s">
        <v>1290</v>
      </c>
      <c r="E305">
        <v>6</v>
      </c>
      <c r="F305">
        <v>634</v>
      </c>
      <c r="G305">
        <v>3804</v>
      </c>
      <c r="H305" t="s">
        <v>1313</v>
      </c>
    </row>
    <row r="306" spans="1:8" x14ac:dyDescent="0.3">
      <c r="A306" t="s">
        <v>312</v>
      </c>
      <c r="B306" t="s">
        <v>1112</v>
      </c>
      <c r="C306" t="s">
        <v>1276</v>
      </c>
      <c r="D306" t="s">
        <v>1290</v>
      </c>
      <c r="E306">
        <v>8</v>
      </c>
      <c r="F306">
        <v>120</v>
      </c>
      <c r="G306">
        <v>960</v>
      </c>
      <c r="H306" t="s">
        <v>1314</v>
      </c>
    </row>
    <row r="307" spans="1:8" x14ac:dyDescent="0.3">
      <c r="A307" t="s">
        <v>313</v>
      </c>
      <c r="B307" t="s">
        <v>1113</v>
      </c>
      <c r="C307" t="s">
        <v>1279</v>
      </c>
      <c r="D307" t="s">
        <v>1289</v>
      </c>
      <c r="E307">
        <v>1</v>
      </c>
      <c r="F307">
        <v>268</v>
      </c>
      <c r="G307">
        <v>268</v>
      </c>
      <c r="H307" t="s">
        <v>1316</v>
      </c>
    </row>
    <row r="308" spans="1:8" x14ac:dyDescent="0.3">
      <c r="A308" t="s">
        <v>314</v>
      </c>
      <c r="B308" t="s">
        <v>1114</v>
      </c>
      <c r="C308" t="s">
        <v>1282</v>
      </c>
      <c r="D308" t="s">
        <v>1290</v>
      </c>
      <c r="E308">
        <v>9</v>
      </c>
      <c r="F308">
        <v>550</v>
      </c>
      <c r="G308">
        <v>4950</v>
      </c>
      <c r="H308" t="s">
        <v>1313</v>
      </c>
    </row>
    <row r="309" spans="1:8" x14ac:dyDescent="0.3">
      <c r="A309" t="s">
        <v>315</v>
      </c>
      <c r="B309" t="s">
        <v>1115</v>
      </c>
      <c r="C309" t="s">
        <v>1280</v>
      </c>
      <c r="D309" t="s">
        <v>1290</v>
      </c>
      <c r="E309">
        <v>6</v>
      </c>
      <c r="F309">
        <v>304</v>
      </c>
      <c r="G309">
        <v>1824</v>
      </c>
      <c r="H309" t="s">
        <v>1316</v>
      </c>
    </row>
    <row r="310" spans="1:8" x14ac:dyDescent="0.3">
      <c r="A310" t="s">
        <v>316</v>
      </c>
      <c r="B310" t="s">
        <v>1116</v>
      </c>
      <c r="C310" t="s">
        <v>1280</v>
      </c>
      <c r="D310" t="s">
        <v>1290</v>
      </c>
      <c r="E310">
        <v>10</v>
      </c>
      <c r="F310">
        <v>68</v>
      </c>
      <c r="G310">
        <v>680</v>
      </c>
      <c r="H310" t="s">
        <v>1315</v>
      </c>
    </row>
    <row r="311" spans="1:8" x14ac:dyDescent="0.3">
      <c r="A311" t="s">
        <v>317</v>
      </c>
      <c r="B311" t="s">
        <v>1084</v>
      </c>
      <c r="C311" t="s">
        <v>1273</v>
      </c>
      <c r="D311" t="s">
        <v>1289</v>
      </c>
      <c r="E311">
        <v>6</v>
      </c>
      <c r="F311">
        <v>111</v>
      </c>
      <c r="G311">
        <v>666</v>
      </c>
      <c r="H311" t="s">
        <v>1316</v>
      </c>
    </row>
    <row r="312" spans="1:8" x14ac:dyDescent="0.3">
      <c r="A312" t="s">
        <v>318</v>
      </c>
      <c r="B312" t="s">
        <v>1117</v>
      </c>
      <c r="C312" t="s">
        <v>1277</v>
      </c>
      <c r="D312" t="s">
        <v>1289</v>
      </c>
      <c r="E312">
        <v>5</v>
      </c>
      <c r="F312">
        <v>756</v>
      </c>
      <c r="G312">
        <v>3780</v>
      </c>
      <c r="H312" t="s">
        <v>1313</v>
      </c>
    </row>
    <row r="313" spans="1:8" x14ac:dyDescent="0.3">
      <c r="A313" t="s">
        <v>319</v>
      </c>
      <c r="B313" t="s">
        <v>1014</v>
      </c>
      <c r="C313" t="s">
        <v>1280</v>
      </c>
      <c r="D313" t="s">
        <v>1290</v>
      </c>
      <c r="E313">
        <v>2</v>
      </c>
      <c r="F313">
        <v>611</v>
      </c>
      <c r="G313">
        <v>1222</v>
      </c>
      <c r="H313" t="s">
        <v>1313</v>
      </c>
    </row>
    <row r="314" spans="1:8" x14ac:dyDescent="0.3">
      <c r="A314" t="s">
        <v>320</v>
      </c>
      <c r="B314" t="s">
        <v>1063</v>
      </c>
      <c r="C314" t="s">
        <v>1280</v>
      </c>
      <c r="D314" t="s">
        <v>1290</v>
      </c>
      <c r="E314">
        <v>5</v>
      </c>
      <c r="F314">
        <v>686</v>
      </c>
      <c r="H314" t="s">
        <v>1316</v>
      </c>
    </row>
    <row r="315" spans="1:8" x14ac:dyDescent="0.3">
      <c r="A315" t="s">
        <v>321</v>
      </c>
      <c r="B315" t="s">
        <v>995</v>
      </c>
      <c r="C315" t="s">
        <v>1279</v>
      </c>
      <c r="D315" t="s">
        <v>1289</v>
      </c>
      <c r="E315">
        <v>10</v>
      </c>
      <c r="F315">
        <v>740</v>
      </c>
      <c r="G315">
        <v>7400</v>
      </c>
      <c r="H315" t="s">
        <v>1319</v>
      </c>
    </row>
    <row r="316" spans="1:8" x14ac:dyDescent="0.3">
      <c r="A316" t="s">
        <v>322</v>
      </c>
      <c r="B316" t="s">
        <v>1118</v>
      </c>
      <c r="C316" t="s">
        <v>1275</v>
      </c>
      <c r="D316" t="s">
        <v>1289</v>
      </c>
      <c r="E316">
        <v>6</v>
      </c>
      <c r="F316">
        <v>847</v>
      </c>
      <c r="G316">
        <v>5082</v>
      </c>
      <c r="H316" t="s">
        <v>1314</v>
      </c>
    </row>
    <row r="317" spans="1:8" x14ac:dyDescent="0.3">
      <c r="A317" t="s">
        <v>323</v>
      </c>
      <c r="B317" t="s">
        <v>1119</v>
      </c>
      <c r="C317" t="s">
        <v>1275</v>
      </c>
      <c r="D317" t="s">
        <v>1289</v>
      </c>
      <c r="E317">
        <v>9</v>
      </c>
      <c r="F317">
        <v>385</v>
      </c>
      <c r="G317">
        <v>3465</v>
      </c>
      <c r="H317" t="s">
        <v>1315</v>
      </c>
    </row>
    <row r="318" spans="1:8" x14ac:dyDescent="0.3">
      <c r="A318" t="s">
        <v>324</v>
      </c>
      <c r="B318" t="s">
        <v>1027</v>
      </c>
      <c r="C318" t="s">
        <v>1277</v>
      </c>
      <c r="D318" t="s">
        <v>1289</v>
      </c>
      <c r="E318">
        <v>3</v>
      </c>
      <c r="F318">
        <v>234</v>
      </c>
      <c r="G318">
        <v>702</v>
      </c>
      <c r="H318" t="s">
        <v>1316</v>
      </c>
    </row>
    <row r="319" spans="1:8" x14ac:dyDescent="0.3">
      <c r="A319" t="s">
        <v>325</v>
      </c>
      <c r="B319" t="s">
        <v>1120</v>
      </c>
      <c r="C319" t="s">
        <v>1274</v>
      </c>
      <c r="D319" t="s">
        <v>1290</v>
      </c>
      <c r="E319">
        <v>4</v>
      </c>
      <c r="F319">
        <v>155</v>
      </c>
      <c r="G319">
        <v>620</v>
      </c>
      <c r="H319" t="s">
        <v>1314</v>
      </c>
    </row>
    <row r="320" spans="1:8" x14ac:dyDescent="0.3">
      <c r="A320" t="s">
        <v>326</v>
      </c>
      <c r="B320" t="s">
        <v>1052</v>
      </c>
      <c r="C320" t="s">
        <v>1277</v>
      </c>
      <c r="D320" t="s">
        <v>1289</v>
      </c>
      <c r="E320">
        <v>2</v>
      </c>
      <c r="F320">
        <v>534</v>
      </c>
      <c r="G320">
        <v>1068</v>
      </c>
      <c r="H320" t="s">
        <v>1314</v>
      </c>
    </row>
    <row r="321" spans="1:8" x14ac:dyDescent="0.3">
      <c r="A321" t="s">
        <v>327</v>
      </c>
      <c r="B321" t="s">
        <v>931</v>
      </c>
      <c r="C321" t="s">
        <v>1280</v>
      </c>
      <c r="D321" t="s">
        <v>1290</v>
      </c>
      <c r="E321">
        <v>10</v>
      </c>
      <c r="F321">
        <v>149</v>
      </c>
      <c r="G321">
        <v>1490</v>
      </c>
      <c r="H321" t="s">
        <v>1316</v>
      </c>
    </row>
    <row r="322" spans="1:8" x14ac:dyDescent="0.3">
      <c r="A322" t="s">
        <v>328</v>
      </c>
      <c r="B322" t="s">
        <v>1121</v>
      </c>
      <c r="C322" t="s">
        <v>1279</v>
      </c>
      <c r="D322" t="s">
        <v>1289</v>
      </c>
      <c r="E322">
        <v>3</v>
      </c>
      <c r="F322">
        <v>200</v>
      </c>
      <c r="G322">
        <v>600</v>
      </c>
      <c r="H322" t="s">
        <v>1313</v>
      </c>
    </row>
    <row r="323" spans="1:8" x14ac:dyDescent="0.3">
      <c r="A323" t="s">
        <v>329</v>
      </c>
      <c r="B323" t="s">
        <v>1122</v>
      </c>
      <c r="C323" t="s">
        <v>1282</v>
      </c>
      <c r="D323" t="s">
        <v>1290</v>
      </c>
      <c r="E323">
        <v>1</v>
      </c>
      <c r="F323">
        <v>435</v>
      </c>
      <c r="G323">
        <v>435</v>
      </c>
      <c r="H323" t="s">
        <v>1313</v>
      </c>
    </row>
    <row r="324" spans="1:8" x14ac:dyDescent="0.3">
      <c r="A324" t="s">
        <v>330</v>
      </c>
      <c r="B324" t="s">
        <v>1123</v>
      </c>
      <c r="C324" t="s">
        <v>1282</v>
      </c>
      <c r="D324" t="s">
        <v>1290</v>
      </c>
      <c r="E324">
        <v>10</v>
      </c>
      <c r="F324">
        <v>306</v>
      </c>
      <c r="G324">
        <v>3060</v>
      </c>
      <c r="H324" t="s">
        <v>1313</v>
      </c>
    </row>
    <row r="325" spans="1:8" x14ac:dyDescent="0.3">
      <c r="A325" t="s">
        <v>331</v>
      </c>
      <c r="B325" t="s">
        <v>982</v>
      </c>
      <c r="C325" t="s">
        <v>1274</v>
      </c>
      <c r="D325" t="s">
        <v>1292</v>
      </c>
      <c r="E325">
        <v>5</v>
      </c>
      <c r="F325">
        <v>843</v>
      </c>
      <c r="G325">
        <v>4215</v>
      </c>
      <c r="H325" t="s">
        <v>1313</v>
      </c>
    </row>
    <row r="326" spans="1:8" x14ac:dyDescent="0.3">
      <c r="A326" t="s">
        <v>332</v>
      </c>
      <c r="B326" t="s">
        <v>1015</v>
      </c>
      <c r="C326" t="s">
        <v>1280</v>
      </c>
      <c r="D326" t="s">
        <v>1290</v>
      </c>
      <c r="E326">
        <v>10</v>
      </c>
      <c r="F326">
        <v>466</v>
      </c>
      <c r="G326">
        <v>4660</v>
      </c>
      <c r="H326" t="s">
        <v>1315</v>
      </c>
    </row>
    <row r="327" spans="1:8" x14ac:dyDescent="0.3">
      <c r="A327" t="s">
        <v>333</v>
      </c>
      <c r="B327" t="s">
        <v>1124</v>
      </c>
      <c r="C327" t="s">
        <v>1275</v>
      </c>
      <c r="D327" t="s">
        <v>1289</v>
      </c>
      <c r="E327">
        <v>9</v>
      </c>
      <c r="F327">
        <v>555</v>
      </c>
      <c r="G327">
        <v>4995</v>
      </c>
      <c r="H327" t="s">
        <v>1317</v>
      </c>
    </row>
    <row r="328" spans="1:8" x14ac:dyDescent="0.3">
      <c r="A328" t="s">
        <v>334</v>
      </c>
      <c r="B328" t="s">
        <v>1080</v>
      </c>
      <c r="C328" t="s">
        <v>1274</v>
      </c>
      <c r="D328" t="s">
        <v>1290</v>
      </c>
      <c r="E328">
        <v>10</v>
      </c>
      <c r="F328">
        <v>156</v>
      </c>
      <c r="G328">
        <v>1560</v>
      </c>
      <c r="H328" t="s">
        <v>1314</v>
      </c>
    </row>
    <row r="329" spans="1:8" x14ac:dyDescent="0.3">
      <c r="A329" t="s">
        <v>335</v>
      </c>
      <c r="B329" t="s">
        <v>909</v>
      </c>
      <c r="C329" t="s">
        <v>1282</v>
      </c>
      <c r="D329" t="s">
        <v>1290</v>
      </c>
      <c r="E329">
        <v>6</v>
      </c>
      <c r="F329">
        <v>582</v>
      </c>
      <c r="G329">
        <v>3492</v>
      </c>
      <c r="H329" t="s">
        <v>1314</v>
      </c>
    </row>
    <row r="330" spans="1:8" x14ac:dyDescent="0.3">
      <c r="A330" t="s">
        <v>336</v>
      </c>
      <c r="B330" t="s">
        <v>935</v>
      </c>
      <c r="C330" t="s">
        <v>1281</v>
      </c>
      <c r="D330" t="s">
        <v>1289</v>
      </c>
      <c r="E330">
        <v>2</v>
      </c>
      <c r="F330">
        <v>796</v>
      </c>
      <c r="G330">
        <v>1592</v>
      </c>
      <c r="H330" t="s">
        <v>1315</v>
      </c>
    </row>
    <row r="331" spans="1:8" x14ac:dyDescent="0.3">
      <c r="A331" t="s">
        <v>337</v>
      </c>
      <c r="B331" t="s">
        <v>1011</v>
      </c>
      <c r="C331" t="s">
        <v>1282</v>
      </c>
      <c r="D331" t="s">
        <v>1290</v>
      </c>
      <c r="E331">
        <v>9</v>
      </c>
      <c r="F331">
        <v>165</v>
      </c>
      <c r="G331">
        <v>1485</v>
      </c>
      <c r="H331" t="s">
        <v>1314</v>
      </c>
    </row>
    <row r="332" spans="1:8" x14ac:dyDescent="0.3">
      <c r="A332" t="s">
        <v>338</v>
      </c>
      <c r="B332" t="s">
        <v>911</v>
      </c>
      <c r="C332" t="s">
        <v>1274</v>
      </c>
      <c r="D332" t="s">
        <v>1290</v>
      </c>
      <c r="E332">
        <v>8</v>
      </c>
      <c r="F332">
        <v>372</v>
      </c>
      <c r="G332">
        <v>2976</v>
      </c>
      <c r="H332" t="s">
        <v>1316</v>
      </c>
    </row>
    <row r="333" spans="1:8" x14ac:dyDescent="0.3">
      <c r="A333" t="s">
        <v>339</v>
      </c>
      <c r="B333" t="s">
        <v>1125</v>
      </c>
      <c r="C333" t="s">
        <v>1276</v>
      </c>
      <c r="D333" t="s">
        <v>1290</v>
      </c>
      <c r="E333">
        <v>7</v>
      </c>
      <c r="F333">
        <v>529</v>
      </c>
      <c r="G333">
        <v>3703</v>
      </c>
      <c r="H333" t="s">
        <v>1313</v>
      </c>
    </row>
    <row r="334" spans="1:8" x14ac:dyDescent="0.3">
      <c r="A334" t="s">
        <v>340</v>
      </c>
      <c r="B334" t="s">
        <v>1126</v>
      </c>
      <c r="C334" t="s">
        <v>1275</v>
      </c>
      <c r="D334" t="s">
        <v>1289</v>
      </c>
      <c r="E334">
        <v>2</v>
      </c>
      <c r="F334">
        <v>398</v>
      </c>
      <c r="G334">
        <v>796</v>
      </c>
      <c r="H334" t="s">
        <v>1314</v>
      </c>
    </row>
    <row r="335" spans="1:8" x14ac:dyDescent="0.3">
      <c r="A335" t="s">
        <v>341</v>
      </c>
      <c r="B335" t="s">
        <v>941</v>
      </c>
      <c r="C335" t="s">
        <v>1280</v>
      </c>
      <c r="D335" t="s">
        <v>1290</v>
      </c>
      <c r="E335">
        <v>2</v>
      </c>
      <c r="F335">
        <v>874</v>
      </c>
      <c r="G335">
        <v>1748</v>
      </c>
      <c r="H335" t="s">
        <v>1315</v>
      </c>
    </row>
    <row r="336" spans="1:8" x14ac:dyDescent="0.3">
      <c r="A336" t="s">
        <v>342</v>
      </c>
      <c r="B336" t="s">
        <v>1127</v>
      </c>
      <c r="C336" t="s">
        <v>1279</v>
      </c>
      <c r="D336" t="s">
        <v>1289</v>
      </c>
      <c r="E336">
        <v>3</v>
      </c>
      <c r="F336">
        <v>54</v>
      </c>
      <c r="G336">
        <v>162</v>
      </c>
      <c r="H336" t="s">
        <v>1316</v>
      </c>
    </row>
    <row r="337" spans="1:8" x14ac:dyDescent="0.3">
      <c r="A337" t="s">
        <v>343</v>
      </c>
      <c r="B337" t="s">
        <v>1128</v>
      </c>
      <c r="C337" t="s">
        <v>1279</v>
      </c>
      <c r="D337" t="s">
        <v>1289</v>
      </c>
      <c r="E337">
        <v>8</v>
      </c>
      <c r="F337">
        <v>474</v>
      </c>
      <c r="G337">
        <v>3792</v>
      </c>
      <c r="H337" t="s">
        <v>1314</v>
      </c>
    </row>
    <row r="338" spans="1:8" x14ac:dyDescent="0.3">
      <c r="A338" t="s">
        <v>344</v>
      </c>
      <c r="B338" t="s">
        <v>1129</v>
      </c>
      <c r="C338" t="s">
        <v>1273</v>
      </c>
      <c r="D338" t="s">
        <v>1289</v>
      </c>
      <c r="E338">
        <v>1</v>
      </c>
      <c r="F338">
        <v>277</v>
      </c>
      <c r="G338">
        <v>277</v>
      </c>
      <c r="H338" t="s">
        <v>1317</v>
      </c>
    </row>
    <row r="339" spans="1:8" x14ac:dyDescent="0.3">
      <c r="A339" t="s">
        <v>345</v>
      </c>
      <c r="B339" t="s">
        <v>1048</v>
      </c>
      <c r="C339" t="s">
        <v>1275</v>
      </c>
      <c r="D339" t="s">
        <v>1289</v>
      </c>
      <c r="E339">
        <v>2</v>
      </c>
      <c r="F339">
        <v>809</v>
      </c>
      <c r="G339">
        <v>1618</v>
      </c>
      <c r="H339" t="s">
        <v>1313</v>
      </c>
    </row>
    <row r="340" spans="1:8" x14ac:dyDescent="0.3">
      <c r="A340" t="s">
        <v>346</v>
      </c>
      <c r="B340" t="s">
        <v>1130</v>
      </c>
      <c r="C340" t="s">
        <v>1277</v>
      </c>
      <c r="D340" t="s">
        <v>1289</v>
      </c>
      <c r="E340">
        <v>2</v>
      </c>
      <c r="F340" t="s">
        <v>1304</v>
      </c>
      <c r="G340">
        <v>126</v>
      </c>
      <c r="H340" t="s">
        <v>1316</v>
      </c>
    </row>
    <row r="341" spans="1:8" x14ac:dyDescent="0.3">
      <c r="A341" t="s">
        <v>347</v>
      </c>
      <c r="B341" t="s">
        <v>1131</v>
      </c>
      <c r="C341" t="s">
        <v>1286</v>
      </c>
      <c r="D341" t="s">
        <v>1290</v>
      </c>
      <c r="E341">
        <v>2</v>
      </c>
      <c r="F341">
        <v>128</v>
      </c>
      <c r="G341">
        <v>256</v>
      </c>
      <c r="H341" t="s">
        <v>1314</v>
      </c>
    </row>
    <row r="342" spans="1:8" x14ac:dyDescent="0.3">
      <c r="A342" t="s">
        <v>348</v>
      </c>
      <c r="B342" t="s">
        <v>1026</v>
      </c>
      <c r="C342" t="s">
        <v>1274</v>
      </c>
      <c r="D342" t="s">
        <v>1290</v>
      </c>
      <c r="E342">
        <v>3</v>
      </c>
      <c r="F342">
        <v>313</v>
      </c>
      <c r="G342">
        <v>939</v>
      </c>
      <c r="H342" t="s">
        <v>1314</v>
      </c>
    </row>
    <row r="343" spans="1:8" x14ac:dyDescent="0.3">
      <c r="A343" t="s">
        <v>349</v>
      </c>
      <c r="B343" t="s">
        <v>1132</v>
      </c>
      <c r="C343" t="s">
        <v>1280</v>
      </c>
      <c r="D343" t="s">
        <v>1290</v>
      </c>
      <c r="E343">
        <v>4</v>
      </c>
      <c r="F343">
        <v>599</v>
      </c>
      <c r="G343">
        <v>2396</v>
      </c>
      <c r="H343" t="s">
        <v>1313</v>
      </c>
    </row>
    <row r="344" spans="1:8" x14ac:dyDescent="0.3">
      <c r="A344" t="s">
        <v>350</v>
      </c>
      <c r="B344" t="s">
        <v>1133</v>
      </c>
      <c r="C344" t="s">
        <v>1273</v>
      </c>
      <c r="D344" t="s">
        <v>1289</v>
      </c>
      <c r="E344">
        <v>9</v>
      </c>
      <c r="F344">
        <v>384</v>
      </c>
      <c r="G344">
        <v>3456</v>
      </c>
      <c r="H344" t="s">
        <v>1314</v>
      </c>
    </row>
    <row r="345" spans="1:8" x14ac:dyDescent="0.3">
      <c r="A345" t="s">
        <v>351</v>
      </c>
      <c r="B345" t="s">
        <v>920</v>
      </c>
      <c r="C345" t="s">
        <v>1275</v>
      </c>
      <c r="D345" t="s">
        <v>1289</v>
      </c>
      <c r="E345">
        <v>8</v>
      </c>
      <c r="F345">
        <v>59</v>
      </c>
      <c r="G345">
        <v>472</v>
      </c>
      <c r="H345" t="s">
        <v>1316</v>
      </c>
    </row>
    <row r="346" spans="1:8" x14ac:dyDescent="0.3">
      <c r="A346" t="s">
        <v>352</v>
      </c>
      <c r="B346" t="s">
        <v>1134</v>
      </c>
      <c r="C346" t="s">
        <v>1280</v>
      </c>
      <c r="D346" t="s">
        <v>1290</v>
      </c>
      <c r="E346">
        <v>5</v>
      </c>
      <c r="F346">
        <v>780</v>
      </c>
      <c r="G346">
        <v>3900</v>
      </c>
      <c r="H346" t="s">
        <v>1315</v>
      </c>
    </row>
    <row r="347" spans="1:8" x14ac:dyDescent="0.3">
      <c r="A347" t="s">
        <v>353</v>
      </c>
      <c r="B347" t="s">
        <v>1117</v>
      </c>
      <c r="C347" t="s">
        <v>1273</v>
      </c>
      <c r="D347" t="s">
        <v>1289</v>
      </c>
      <c r="E347">
        <v>6</v>
      </c>
      <c r="F347">
        <v>261</v>
      </c>
      <c r="G347">
        <v>1566</v>
      </c>
      <c r="H347" t="s">
        <v>1314</v>
      </c>
    </row>
    <row r="348" spans="1:8" x14ac:dyDescent="0.3">
      <c r="A348" t="s">
        <v>354</v>
      </c>
      <c r="B348" t="s">
        <v>1009</v>
      </c>
      <c r="C348" t="s">
        <v>1280</v>
      </c>
      <c r="D348" t="s">
        <v>1290</v>
      </c>
      <c r="E348">
        <v>3</v>
      </c>
      <c r="F348">
        <v>60</v>
      </c>
      <c r="G348">
        <v>180</v>
      </c>
      <c r="H348" t="s">
        <v>1315</v>
      </c>
    </row>
    <row r="349" spans="1:8" x14ac:dyDescent="0.3">
      <c r="A349" t="s">
        <v>355</v>
      </c>
      <c r="B349" t="s">
        <v>1135</v>
      </c>
      <c r="C349" t="s">
        <v>1279</v>
      </c>
      <c r="D349" t="s">
        <v>1289</v>
      </c>
      <c r="E349">
        <v>8</v>
      </c>
      <c r="F349">
        <v>727</v>
      </c>
      <c r="G349">
        <v>5816</v>
      </c>
      <c r="H349" t="s">
        <v>1313</v>
      </c>
    </row>
    <row r="350" spans="1:8" x14ac:dyDescent="0.3">
      <c r="A350" t="s">
        <v>356</v>
      </c>
      <c r="B350" t="s">
        <v>1136</v>
      </c>
      <c r="C350" t="s">
        <v>1279</v>
      </c>
      <c r="D350" t="s">
        <v>1289</v>
      </c>
      <c r="E350">
        <v>2</v>
      </c>
      <c r="F350">
        <v>748</v>
      </c>
      <c r="G350">
        <v>1496</v>
      </c>
      <c r="H350" t="s">
        <v>1314</v>
      </c>
    </row>
    <row r="351" spans="1:8" x14ac:dyDescent="0.3">
      <c r="A351" t="s">
        <v>357</v>
      </c>
      <c r="B351" t="s">
        <v>1137</v>
      </c>
      <c r="C351" t="s">
        <v>1277</v>
      </c>
      <c r="D351" t="s">
        <v>1289</v>
      </c>
      <c r="E351">
        <v>4</v>
      </c>
      <c r="F351">
        <v>59</v>
      </c>
      <c r="G351">
        <v>236</v>
      </c>
      <c r="H351" t="s">
        <v>1314</v>
      </c>
    </row>
    <row r="352" spans="1:8" x14ac:dyDescent="0.3">
      <c r="A352" t="s">
        <v>358</v>
      </c>
      <c r="B352" t="s">
        <v>1138</v>
      </c>
      <c r="C352" t="s">
        <v>1280</v>
      </c>
      <c r="D352" t="s">
        <v>1290</v>
      </c>
      <c r="E352">
        <v>5</v>
      </c>
      <c r="F352">
        <v>542</v>
      </c>
      <c r="G352">
        <v>2710</v>
      </c>
      <c r="H352" t="s">
        <v>1316</v>
      </c>
    </row>
    <row r="353" spans="1:8" x14ac:dyDescent="0.3">
      <c r="A353" t="s">
        <v>359</v>
      </c>
      <c r="B353" t="s">
        <v>1139</v>
      </c>
      <c r="C353" t="s">
        <v>1277</v>
      </c>
      <c r="D353" t="s">
        <v>1289</v>
      </c>
      <c r="E353">
        <v>1</v>
      </c>
      <c r="F353">
        <v>786</v>
      </c>
      <c r="G353">
        <v>786</v>
      </c>
      <c r="H353" t="s">
        <v>1313</v>
      </c>
    </row>
    <row r="354" spans="1:8" x14ac:dyDescent="0.3">
      <c r="A354" t="s">
        <v>360</v>
      </c>
      <c r="B354" t="s">
        <v>1140</v>
      </c>
      <c r="C354" t="s">
        <v>1277</v>
      </c>
      <c r="D354" t="s">
        <v>1289</v>
      </c>
      <c r="E354">
        <v>6</v>
      </c>
      <c r="F354">
        <v>897</v>
      </c>
      <c r="H354" t="s">
        <v>1315</v>
      </c>
    </row>
    <row r="355" spans="1:8" x14ac:dyDescent="0.3">
      <c r="A355" t="s">
        <v>361</v>
      </c>
      <c r="B355" t="s">
        <v>1022</v>
      </c>
      <c r="C355" t="s">
        <v>1277</v>
      </c>
      <c r="D355" t="s">
        <v>1289</v>
      </c>
      <c r="E355">
        <v>2</v>
      </c>
      <c r="F355">
        <v>833</v>
      </c>
      <c r="G355">
        <v>1666</v>
      </c>
      <c r="H355" t="s">
        <v>1316</v>
      </c>
    </row>
    <row r="356" spans="1:8" x14ac:dyDescent="0.3">
      <c r="A356" t="s">
        <v>362</v>
      </c>
      <c r="B356" t="s">
        <v>1107</v>
      </c>
      <c r="C356" t="s">
        <v>1275</v>
      </c>
      <c r="D356" t="s">
        <v>1289</v>
      </c>
      <c r="E356">
        <v>8</v>
      </c>
      <c r="F356">
        <v>410</v>
      </c>
      <c r="G356">
        <v>3280</v>
      </c>
      <c r="H356" t="s">
        <v>1313</v>
      </c>
    </row>
    <row r="357" spans="1:8" x14ac:dyDescent="0.3">
      <c r="A357" t="s">
        <v>363</v>
      </c>
      <c r="B357" t="s">
        <v>1054</v>
      </c>
      <c r="C357" t="s">
        <v>1282</v>
      </c>
      <c r="D357" t="s">
        <v>1290</v>
      </c>
      <c r="E357">
        <v>8</v>
      </c>
      <c r="F357">
        <v>391</v>
      </c>
      <c r="G357">
        <v>3128</v>
      </c>
      <c r="H357" t="s">
        <v>1315</v>
      </c>
    </row>
    <row r="358" spans="1:8" x14ac:dyDescent="0.3">
      <c r="A358" t="s">
        <v>364</v>
      </c>
      <c r="B358" t="s">
        <v>1141</v>
      </c>
      <c r="C358" t="s">
        <v>1273</v>
      </c>
      <c r="D358" t="s">
        <v>1289</v>
      </c>
      <c r="E358">
        <v>7</v>
      </c>
      <c r="F358">
        <v>95</v>
      </c>
      <c r="G358">
        <v>665</v>
      </c>
      <c r="H358" t="s">
        <v>1313</v>
      </c>
    </row>
    <row r="359" spans="1:8" x14ac:dyDescent="0.3">
      <c r="A359" t="s">
        <v>365</v>
      </c>
      <c r="B359" t="s">
        <v>1142</v>
      </c>
      <c r="C359" t="s">
        <v>1277</v>
      </c>
      <c r="D359" t="s">
        <v>1289</v>
      </c>
      <c r="E359">
        <v>6</v>
      </c>
      <c r="F359">
        <v>120</v>
      </c>
      <c r="G359">
        <v>720</v>
      </c>
      <c r="H359" t="s">
        <v>1315</v>
      </c>
    </row>
    <row r="360" spans="1:8" x14ac:dyDescent="0.3">
      <c r="A360" t="s">
        <v>366</v>
      </c>
      <c r="B360" t="s">
        <v>1143</v>
      </c>
      <c r="C360" t="s">
        <v>1277</v>
      </c>
      <c r="D360" t="s">
        <v>1289</v>
      </c>
      <c r="E360">
        <v>5</v>
      </c>
      <c r="F360">
        <v>471</v>
      </c>
      <c r="G360">
        <v>2355</v>
      </c>
      <c r="H360" t="s">
        <v>1316</v>
      </c>
    </row>
    <row r="361" spans="1:8" x14ac:dyDescent="0.3">
      <c r="A361" t="s">
        <v>367</v>
      </c>
      <c r="B361" t="s">
        <v>1144</v>
      </c>
      <c r="C361" t="s">
        <v>1279</v>
      </c>
      <c r="D361" t="s">
        <v>1289</v>
      </c>
      <c r="E361">
        <v>8</v>
      </c>
      <c r="F361">
        <v>374</v>
      </c>
      <c r="G361">
        <v>2992</v>
      </c>
      <c r="H361" t="s">
        <v>1314</v>
      </c>
    </row>
    <row r="362" spans="1:8" x14ac:dyDescent="0.3">
      <c r="A362" t="s">
        <v>368</v>
      </c>
      <c r="B362" t="s">
        <v>908</v>
      </c>
      <c r="C362" t="s">
        <v>1280</v>
      </c>
      <c r="D362" t="s">
        <v>1290</v>
      </c>
      <c r="E362">
        <v>10</v>
      </c>
      <c r="F362">
        <v>460</v>
      </c>
      <c r="G362">
        <v>4600</v>
      </c>
      <c r="H362" t="s">
        <v>1314</v>
      </c>
    </row>
    <row r="363" spans="1:8" x14ac:dyDescent="0.3">
      <c r="A363" t="s">
        <v>369</v>
      </c>
      <c r="B363" t="s">
        <v>1145</v>
      </c>
      <c r="C363" t="s">
        <v>1273</v>
      </c>
      <c r="D363" t="s">
        <v>1289</v>
      </c>
      <c r="E363">
        <v>7</v>
      </c>
      <c r="F363">
        <v>387</v>
      </c>
      <c r="G363">
        <v>2709</v>
      </c>
      <c r="H363" t="s">
        <v>1313</v>
      </c>
    </row>
    <row r="364" spans="1:8" x14ac:dyDescent="0.3">
      <c r="A364" t="s">
        <v>370</v>
      </c>
      <c r="B364" t="s">
        <v>1146</v>
      </c>
      <c r="C364" t="s">
        <v>1276</v>
      </c>
      <c r="D364" t="s">
        <v>1290</v>
      </c>
      <c r="E364">
        <v>3</v>
      </c>
      <c r="F364">
        <v>884</v>
      </c>
      <c r="G364">
        <v>2652</v>
      </c>
      <c r="H364" t="s">
        <v>1316</v>
      </c>
    </row>
    <row r="365" spans="1:8" x14ac:dyDescent="0.3">
      <c r="A365" t="s">
        <v>371</v>
      </c>
      <c r="B365" t="s">
        <v>996</v>
      </c>
      <c r="C365" t="s">
        <v>1276</v>
      </c>
      <c r="D365" t="s">
        <v>1290</v>
      </c>
      <c r="E365">
        <v>3</v>
      </c>
      <c r="F365">
        <v>83</v>
      </c>
      <c r="G365">
        <v>249</v>
      </c>
      <c r="H365" t="s">
        <v>1315</v>
      </c>
    </row>
    <row r="366" spans="1:8" x14ac:dyDescent="0.3">
      <c r="A366" t="s">
        <v>372</v>
      </c>
      <c r="B366" t="s">
        <v>924</v>
      </c>
      <c r="C366" t="s">
        <v>1280</v>
      </c>
      <c r="D366" t="s">
        <v>1290</v>
      </c>
      <c r="E366">
        <v>7</v>
      </c>
      <c r="F366">
        <v>595</v>
      </c>
      <c r="G366">
        <v>4165</v>
      </c>
      <c r="H366" t="s">
        <v>1313</v>
      </c>
    </row>
    <row r="367" spans="1:8" x14ac:dyDescent="0.3">
      <c r="A367" t="s">
        <v>373</v>
      </c>
      <c r="B367" t="s">
        <v>1147</v>
      </c>
      <c r="C367" t="s">
        <v>1282</v>
      </c>
      <c r="D367" t="s">
        <v>1290</v>
      </c>
      <c r="E367">
        <v>6</v>
      </c>
      <c r="F367" t="s">
        <v>1305</v>
      </c>
      <c r="G367">
        <v>2370</v>
      </c>
      <c r="H367" t="s">
        <v>1314</v>
      </c>
    </row>
    <row r="368" spans="1:8" x14ac:dyDescent="0.3">
      <c r="A368" t="s">
        <v>374</v>
      </c>
      <c r="B368" t="s">
        <v>1138</v>
      </c>
      <c r="C368" t="s">
        <v>1279</v>
      </c>
      <c r="D368" t="s">
        <v>1291</v>
      </c>
      <c r="E368">
        <v>9</v>
      </c>
      <c r="F368">
        <v>390</v>
      </c>
      <c r="G368">
        <v>3510</v>
      </c>
      <c r="H368" t="s">
        <v>1315</v>
      </c>
    </row>
    <row r="369" spans="1:8" x14ac:dyDescent="0.3">
      <c r="A369" t="s">
        <v>375</v>
      </c>
      <c r="B369" t="s">
        <v>911</v>
      </c>
      <c r="C369" t="s">
        <v>1277</v>
      </c>
      <c r="D369" t="s">
        <v>1289</v>
      </c>
      <c r="E369">
        <v>4</v>
      </c>
      <c r="F369">
        <v>131</v>
      </c>
      <c r="G369">
        <v>524</v>
      </c>
      <c r="H369" t="s">
        <v>1313</v>
      </c>
    </row>
    <row r="370" spans="1:8" x14ac:dyDescent="0.3">
      <c r="A370" t="s">
        <v>376</v>
      </c>
      <c r="B370" t="s">
        <v>1086</v>
      </c>
      <c r="C370" t="s">
        <v>1282</v>
      </c>
      <c r="D370" t="s">
        <v>1290</v>
      </c>
      <c r="E370">
        <v>9</v>
      </c>
      <c r="F370">
        <v>411</v>
      </c>
      <c r="G370">
        <v>3699</v>
      </c>
      <c r="H370" t="s">
        <v>1314</v>
      </c>
    </row>
    <row r="371" spans="1:8" x14ac:dyDescent="0.3">
      <c r="A371" t="s">
        <v>377</v>
      </c>
      <c r="B371" t="s">
        <v>1144</v>
      </c>
      <c r="C371" t="s">
        <v>1277</v>
      </c>
      <c r="D371" t="s">
        <v>1289</v>
      </c>
      <c r="E371">
        <v>5</v>
      </c>
      <c r="F371">
        <v>735</v>
      </c>
      <c r="G371">
        <v>3675</v>
      </c>
      <c r="H371" t="s">
        <v>1313</v>
      </c>
    </row>
    <row r="372" spans="1:8" x14ac:dyDescent="0.3">
      <c r="A372" t="s">
        <v>378</v>
      </c>
      <c r="B372" t="s">
        <v>1000</v>
      </c>
      <c r="C372" t="s">
        <v>1277</v>
      </c>
      <c r="D372" t="s">
        <v>1289</v>
      </c>
      <c r="E372">
        <v>8</v>
      </c>
      <c r="F372">
        <v>219</v>
      </c>
      <c r="G372">
        <v>1752</v>
      </c>
      <c r="H372" t="s">
        <v>1313</v>
      </c>
    </row>
    <row r="373" spans="1:8" x14ac:dyDescent="0.3">
      <c r="A373" t="s">
        <v>379</v>
      </c>
      <c r="B373" t="s">
        <v>1147</v>
      </c>
      <c r="C373" t="s">
        <v>1273</v>
      </c>
      <c r="D373" t="s">
        <v>1289</v>
      </c>
      <c r="E373">
        <v>8</v>
      </c>
      <c r="F373">
        <v>191</v>
      </c>
      <c r="G373">
        <v>1528</v>
      </c>
      <c r="H373" t="s">
        <v>1314</v>
      </c>
    </row>
    <row r="374" spans="1:8" x14ac:dyDescent="0.3">
      <c r="A374" t="s">
        <v>380</v>
      </c>
      <c r="B374" t="s">
        <v>1148</v>
      </c>
      <c r="C374" t="s">
        <v>1280</v>
      </c>
      <c r="D374" t="s">
        <v>1290</v>
      </c>
      <c r="E374">
        <v>6</v>
      </c>
      <c r="F374">
        <v>741</v>
      </c>
      <c r="G374">
        <v>4446</v>
      </c>
      <c r="H374" t="s">
        <v>1315</v>
      </c>
    </row>
    <row r="375" spans="1:8" x14ac:dyDescent="0.3">
      <c r="A375" t="s">
        <v>381</v>
      </c>
      <c r="B375" t="s">
        <v>1149</v>
      </c>
      <c r="C375" t="s">
        <v>1277</v>
      </c>
      <c r="D375" t="s">
        <v>1289</v>
      </c>
      <c r="E375">
        <v>3</v>
      </c>
      <c r="F375">
        <v>743</v>
      </c>
      <c r="G375">
        <v>2229</v>
      </c>
      <c r="H375" t="s">
        <v>1317</v>
      </c>
    </row>
    <row r="376" spans="1:8" x14ac:dyDescent="0.3">
      <c r="A376" t="s">
        <v>382</v>
      </c>
      <c r="B376" t="s">
        <v>1000</v>
      </c>
      <c r="C376" t="s">
        <v>1280</v>
      </c>
      <c r="D376" t="s">
        <v>1290</v>
      </c>
      <c r="E376">
        <v>9</v>
      </c>
      <c r="F376">
        <v>244</v>
      </c>
      <c r="G376">
        <v>2196</v>
      </c>
      <c r="H376" t="s">
        <v>1313</v>
      </c>
    </row>
    <row r="377" spans="1:8" x14ac:dyDescent="0.3">
      <c r="A377" t="s">
        <v>383</v>
      </c>
      <c r="B377" t="s">
        <v>1150</v>
      </c>
      <c r="C377" t="s">
        <v>1279</v>
      </c>
      <c r="D377" t="s">
        <v>1289</v>
      </c>
      <c r="E377">
        <v>4</v>
      </c>
      <c r="F377">
        <v>824</v>
      </c>
      <c r="G377">
        <v>3296</v>
      </c>
      <c r="H377" t="s">
        <v>1314</v>
      </c>
    </row>
    <row r="378" spans="1:8" x14ac:dyDescent="0.3">
      <c r="A378" t="s">
        <v>384</v>
      </c>
      <c r="B378" t="s">
        <v>1022</v>
      </c>
      <c r="C378" t="s">
        <v>1280</v>
      </c>
      <c r="D378" t="s">
        <v>1290</v>
      </c>
      <c r="E378">
        <v>9</v>
      </c>
      <c r="F378">
        <v>601</v>
      </c>
      <c r="G378">
        <v>5409</v>
      </c>
      <c r="H378" t="s">
        <v>1316</v>
      </c>
    </row>
    <row r="379" spans="1:8" x14ac:dyDescent="0.3">
      <c r="A379" t="s">
        <v>385</v>
      </c>
      <c r="B379" t="s">
        <v>1148</v>
      </c>
      <c r="C379" t="s">
        <v>1279</v>
      </c>
      <c r="D379" t="s">
        <v>1289</v>
      </c>
      <c r="E379">
        <v>10</v>
      </c>
      <c r="F379">
        <v>103</v>
      </c>
      <c r="G379">
        <v>1030</v>
      </c>
      <c r="H379" t="s">
        <v>1315</v>
      </c>
    </row>
    <row r="380" spans="1:8" x14ac:dyDescent="0.3">
      <c r="A380" t="s">
        <v>386</v>
      </c>
      <c r="B380" t="s">
        <v>949</v>
      </c>
      <c r="C380" t="s">
        <v>1275</v>
      </c>
      <c r="D380" t="s">
        <v>1289</v>
      </c>
      <c r="E380">
        <v>8</v>
      </c>
      <c r="F380">
        <v>553</v>
      </c>
      <c r="G380">
        <v>4424</v>
      </c>
      <c r="H380" t="s">
        <v>1316</v>
      </c>
    </row>
    <row r="381" spans="1:8" x14ac:dyDescent="0.3">
      <c r="A381" t="s">
        <v>387</v>
      </c>
      <c r="B381" t="s">
        <v>1151</v>
      </c>
      <c r="C381" t="s">
        <v>1273</v>
      </c>
      <c r="D381" t="s">
        <v>1289</v>
      </c>
      <c r="E381">
        <v>3</v>
      </c>
      <c r="F381">
        <v>339</v>
      </c>
      <c r="G381">
        <v>1017</v>
      </c>
      <c r="H381" t="s">
        <v>1314</v>
      </c>
    </row>
    <row r="382" spans="1:8" x14ac:dyDescent="0.3">
      <c r="A382" t="s">
        <v>388</v>
      </c>
      <c r="B382" t="s">
        <v>1152</v>
      </c>
      <c r="C382" t="s">
        <v>1282</v>
      </c>
      <c r="D382" t="s">
        <v>1290</v>
      </c>
      <c r="E382">
        <v>8</v>
      </c>
      <c r="F382">
        <v>711</v>
      </c>
      <c r="G382">
        <v>5688</v>
      </c>
      <c r="H382" t="s">
        <v>1315</v>
      </c>
    </row>
    <row r="383" spans="1:8" x14ac:dyDescent="0.3">
      <c r="A383" t="s">
        <v>389</v>
      </c>
      <c r="B383" t="s">
        <v>1075</v>
      </c>
      <c r="C383" t="s">
        <v>1279</v>
      </c>
      <c r="D383" t="s">
        <v>1289</v>
      </c>
      <c r="E383">
        <v>9</v>
      </c>
      <c r="F383">
        <v>670</v>
      </c>
      <c r="G383">
        <v>6030</v>
      </c>
      <c r="H383" t="s">
        <v>1313</v>
      </c>
    </row>
    <row r="384" spans="1:8" x14ac:dyDescent="0.3">
      <c r="A384" t="s">
        <v>390</v>
      </c>
      <c r="B384" t="s">
        <v>1153</v>
      </c>
      <c r="C384" t="s">
        <v>1279</v>
      </c>
      <c r="D384" t="s">
        <v>1289</v>
      </c>
      <c r="E384">
        <v>7</v>
      </c>
      <c r="F384">
        <v>529</v>
      </c>
      <c r="G384">
        <v>3703</v>
      </c>
      <c r="H384" t="s">
        <v>1314</v>
      </c>
    </row>
    <row r="385" spans="1:8" x14ac:dyDescent="0.3">
      <c r="A385" t="s">
        <v>391</v>
      </c>
      <c r="B385" t="s">
        <v>935</v>
      </c>
      <c r="C385" t="s">
        <v>1287</v>
      </c>
      <c r="D385" t="s">
        <v>1289</v>
      </c>
      <c r="E385">
        <v>5</v>
      </c>
      <c r="F385">
        <v>183</v>
      </c>
      <c r="G385">
        <v>915</v>
      </c>
      <c r="H385" t="s">
        <v>1315</v>
      </c>
    </row>
    <row r="386" spans="1:8" x14ac:dyDescent="0.3">
      <c r="A386" t="s">
        <v>392</v>
      </c>
      <c r="B386" t="s">
        <v>967</v>
      </c>
      <c r="C386" t="s">
        <v>1274</v>
      </c>
      <c r="D386" t="s">
        <v>1290</v>
      </c>
      <c r="E386">
        <v>6</v>
      </c>
      <c r="F386">
        <v>546</v>
      </c>
      <c r="G386">
        <v>3276</v>
      </c>
      <c r="H386" t="s">
        <v>1314</v>
      </c>
    </row>
    <row r="387" spans="1:8" x14ac:dyDescent="0.3">
      <c r="A387" t="s">
        <v>393</v>
      </c>
      <c r="B387" t="s">
        <v>975</v>
      </c>
      <c r="C387" t="s">
        <v>1277</v>
      </c>
      <c r="D387" t="s">
        <v>1289</v>
      </c>
      <c r="E387">
        <v>4</v>
      </c>
      <c r="F387">
        <v>665</v>
      </c>
      <c r="G387">
        <v>2660</v>
      </c>
      <c r="H387" t="s">
        <v>1315</v>
      </c>
    </row>
    <row r="388" spans="1:8" x14ac:dyDescent="0.3">
      <c r="A388" t="s">
        <v>394</v>
      </c>
      <c r="B388" t="s">
        <v>1154</v>
      </c>
      <c r="C388" t="s">
        <v>1279</v>
      </c>
      <c r="D388" t="s">
        <v>1289</v>
      </c>
      <c r="E388">
        <v>5</v>
      </c>
      <c r="F388">
        <v>644</v>
      </c>
      <c r="G388">
        <v>3220</v>
      </c>
      <c r="H388" t="s">
        <v>1314</v>
      </c>
    </row>
    <row r="389" spans="1:8" x14ac:dyDescent="0.3">
      <c r="A389" t="s">
        <v>395</v>
      </c>
      <c r="B389" t="s">
        <v>1020</v>
      </c>
      <c r="C389" t="s">
        <v>1279</v>
      </c>
      <c r="D389" t="s">
        <v>1289</v>
      </c>
      <c r="E389">
        <v>10</v>
      </c>
      <c r="F389">
        <v>609</v>
      </c>
      <c r="G389">
        <v>6090</v>
      </c>
      <c r="H389" t="s">
        <v>1313</v>
      </c>
    </row>
    <row r="390" spans="1:8" x14ac:dyDescent="0.3">
      <c r="A390" t="s">
        <v>396</v>
      </c>
      <c r="B390" t="s">
        <v>1155</v>
      </c>
      <c r="C390" t="s">
        <v>1280</v>
      </c>
      <c r="D390" t="s">
        <v>1290</v>
      </c>
      <c r="E390">
        <v>10</v>
      </c>
      <c r="F390">
        <v>57</v>
      </c>
      <c r="G390">
        <v>570</v>
      </c>
      <c r="H390" t="s">
        <v>1314</v>
      </c>
    </row>
    <row r="391" spans="1:8" x14ac:dyDescent="0.3">
      <c r="A391" t="s">
        <v>397</v>
      </c>
      <c r="B391" t="s">
        <v>1156</v>
      </c>
      <c r="C391" t="s">
        <v>1276</v>
      </c>
      <c r="D391" t="s">
        <v>1290</v>
      </c>
      <c r="E391">
        <v>10</v>
      </c>
      <c r="F391">
        <v>286</v>
      </c>
      <c r="G391">
        <v>2860</v>
      </c>
      <c r="H391" t="s">
        <v>1313</v>
      </c>
    </row>
    <row r="392" spans="1:8" x14ac:dyDescent="0.3">
      <c r="A392" t="s">
        <v>398</v>
      </c>
      <c r="B392" t="s">
        <v>1157</v>
      </c>
      <c r="C392" t="s">
        <v>1284</v>
      </c>
      <c r="D392" t="s">
        <v>1289</v>
      </c>
      <c r="E392">
        <v>10</v>
      </c>
      <c r="F392">
        <v>669</v>
      </c>
      <c r="G392">
        <v>6690</v>
      </c>
      <c r="H392" t="s">
        <v>1316</v>
      </c>
    </row>
    <row r="393" spans="1:8" x14ac:dyDescent="0.3">
      <c r="A393" t="s">
        <v>399</v>
      </c>
      <c r="B393" t="s">
        <v>1158</v>
      </c>
      <c r="C393" t="s">
        <v>1277</v>
      </c>
      <c r="D393" t="s">
        <v>1289</v>
      </c>
      <c r="E393">
        <v>5</v>
      </c>
      <c r="F393">
        <v>509</v>
      </c>
      <c r="G393">
        <v>2545</v>
      </c>
      <c r="H393" t="s">
        <v>1316</v>
      </c>
    </row>
    <row r="394" spans="1:8" x14ac:dyDescent="0.3">
      <c r="A394" t="s">
        <v>400</v>
      </c>
      <c r="B394" t="s">
        <v>1051</v>
      </c>
      <c r="C394" t="s">
        <v>1277</v>
      </c>
      <c r="D394" t="s">
        <v>1289</v>
      </c>
      <c r="E394">
        <v>8</v>
      </c>
      <c r="F394">
        <v>89</v>
      </c>
      <c r="G394">
        <v>712</v>
      </c>
      <c r="H394" t="s">
        <v>1314</v>
      </c>
    </row>
    <row r="395" spans="1:8" x14ac:dyDescent="0.3">
      <c r="A395" t="s">
        <v>401</v>
      </c>
      <c r="B395" t="s">
        <v>1039</v>
      </c>
      <c r="C395" t="s">
        <v>1279</v>
      </c>
      <c r="D395" t="s">
        <v>1289</v>
      </c>
      <c r="E395">
        <v>8</v>
      </c>
      <c r="F395">
        <v>440</v>
      </c>
      <c r="G395">
        <v>3520</v>
      </c>
      <c r="H395" t="s">
        <v>1316</v>
      </c>
    </row>
    <row r="396" spans="1:8" x14ac:dyDescent="0.3">
      <c r="A396" t="s">
        <v>402</v>
      </c>
      <c r="B396" t="s">
        <v>1159</v>
      </c>
      <c r="C396" t="s">
        <v>1274</v>
      </c>
      <c r="D396" t="s">
        <v>1290</v>
      </c>
      <c r="E396">
        <v>6</v>
      </c>
      <c r="F396">
        <v>636</v>
      </c>
      <c r="G396">
        <v>3816</v>
      </c>
      <c r="H396" t="s">
        <v>1315</v>
      </c>
    </row>
    <row r="397" spans="1:8" x14ac:dyDescent="0.3">
      <c r="A397" t="s">
        <v>403</v>
      </c>
      <c r="B397" t="s">
        <v>1102</v>
      </c>
      <c r="C397" t="s">
        <v>1288</v>
      </c>
      <c r="D397" t="s">
        <v>1290</v>
      </c>
      <c r="E397">
        <v>6</v>
      </c>
      <c r="F397">
        <v>423</v>
      </c>
      <c r="G397">
        <v>2538</v>
      </c>
      <c r="H397" t="s">
        <v>1315</v>
      </c>
    </row>
    <row r="398" spans="1:8" x14ac:dyDescent="0.3">
      <c r="A398" t="s">
        <v>404</v>
      </c>
      <c r="B398" t="s">
        <v>1160</v>
      </c>
      <c r="C398" t="s">
        <v>1273</v>
      </c>
      <c r="D398" t="s">
        <v>1289</v>
      </c>
      <c r="E398">
        <v>6</v>
      </c>
      <c r="F398">
        <v>262</v>
      </c>
      <c r="G398">
        <v>1572</v>
      </c>
      <c r="H398" t="s">
        <v>1314</v>
      </c>
    </row>
    <row r="399" spans="1:8" x14ac:dyDescent="0.3">
      <c r="A399" t="s">
        <v>405</v>
      </c>
      <c r="B399" t="s">
        <v>1050</v>
      </c>
      <c r="C399" t="s">
        <v>1277</v>
      </c>
      <c r="D399" t="s">
        <v>1291</v>
      </c>
      <c r="E399">
        <v>8</v>
      </c>
      <c r="F399">
        <v>268</v>
      </c>
      <c r="G399">
        <v>2144</v>
      </c>
      <c r="H399" t="s">
        <v>1314</v>
      </c>
    </row>
    <row r="400" spans="1:8" x14ac:dyDescent="0.3">
      <c r="A400" t="s">
        <v>406</v>
      </c>
      <c r="B400" t="s">
        <v>1128</v>
      </c>
      <c r="C400" t="s">
        <v>1276</v>
      </c>
      <c r="D400" t="s">
        <v>1292</v>
      </c>
      <c r="E400">
        <v>5</v>
      </c>
      <c r="F400">
        <v>408</v>
      </c>
      <c r="G400">
        <v>2040</v>
      </c>
      <c r="H400" t="s">
        <v>1316</v>
      </c>
    </row>
    <row r="401" spans="1:8" x14ac:dyDescent="0.3">
      <c r="A401" t="s">
        <v>407</v>
      </c>
      <c r="B401" t="s">
        <v>1016</v>
      </c>
      <c r="C401" t="s">
        <v>1274</v>
      </c>
      <c r="D401" t="s">
        <v>1290</v>
      </c>
      <c r="E401">
        <v>3</v>
      </c>
      <c r="F401">
        <v>848</v>
      </c>
      <c r="G401">
        <v>2544</v>
      </c>
      <c r="H401" t="s">
        <v>1315</v>
      </c>
    </row>
    <row r="402" spans="1:8" x14ac:dyDescent="0.3">
      <c r="A402" t="s">
        <v>408</v>
      </c>
      <c r="B402" t="s">
        <v>1161</v>
      </c>
      <c r="C402" t="s">
        <v>1274</v>
      </c>
      <c r="D402" t="s">
        <v>1290</v>
      </c>
      <c r="E402">
        <v>3</v>
      </c>
      <c r="F402">
        <v>525</v>
      </c>
      <c r="G402">
        <v>1575</v>
      </c>
      <c r="H402" t="s">
        <v>1316</v>
      </c>
    </row>
    <row r="403" spans="1:8" x14ac:dyDescent="0.3">
      <c r="A403" t="s">
        <v>409</v>
      </c>
      <c r="B403" t="s">
        <v>1162</v>
      </c>
      <c r="C403" t="s">
        <v>1282</v>
      </c>
      <c r="D403" t="s">
        <v>1290</v>
      </c>
      <c r="E403">
        <v>5</v>
      </c>
      <c r="F403">
        <v>524</v>
      </c>
      <c r="G403">
        <v>2620</v>
      </c>
      <c r="H403" t="s">
        <v>1314</v>
      </c>
    </row>
    <row r="404" spans="1:8" x14ac:dyDescent="0.3">
      <c r="A404" t="s">
        <v>410</v>
      </c>
      <c r="B404" t="s">
        <v>937</v>
      </c>
      <c r="C404" t="s">
        <v>1275</v>
      </c>
      <c r="D404" t="s">
        <v>1289</v>
      </c>
      <c r="E404">
        <v>9</v>
      </c>
      <c r="F404">
        <v>483</v>
      </c>
      <c r="G404">
        <v>4347</v>
      </c>
      <c r="H404" t="s">
        <v>1313</v>
      </c>
    </row>
    <row r="405" spans="1:8" x14ac:dyDescent="0.3">
      <c r="A405" t="s">
        <v>411</v>
      </c>
      <c r="B405" t="s">
        <v>1163</v>
      </c>
      <c r="C405" t="s">
        <v>1280</v>
      </c>
      <c r="D405" t="s">
        <v>1290</v>
      </c>
      <c r="E405">
        <v>1</v>
      </c>
      <c r="F405">
        <v>66</v>
      </c>
      <c r="H405" t="s">
        <v>1316</v>
      </c>
    </row>
    <row r="406" spans="1:8" x14ac:dyDescent="0.3">
      <c r="A406" t="s">
        <v>412</v>
      </c>
      <c r="B406" t="s">
        <v>1164</v>
      </c>
      <c r="C406" t="s">
        <v>1282</v>
      </c>
      <c r="D406" t="s">
        <v>1290</v>
      </c>
      <c r="E406">
        <v>5</v>
      </c>
      <c r="F406">
        <v>564</v>
      </c>
      <c r="G406">
        <v>2820</v>
      </c>
      <c r="H406" t="s">
        <v>1314</v>
      </c>
    </row>
    <row r="407" spans="1:8" x14ac:dyDescent="0.3">
      <c r="A407" t="s">
        <v>413</v>
      </c>
      <c r="B407" t="s">
        <v>1165</v>
      </c>
      <c r="C407" t="s">
        <v>1275</v>
      </c>
      <c r="D407" t="s">
        <v>1289</v>
      </c>
      <c r="E407">
        <v>3</v>
      </c>
      <c r="F407">
        <v>285</v>
      </c>
      <c r="G407">
        <v>855</v>
      </c>
      <c r="H407" t="s">
        <v>1316</v>
      </c>
    </row>
    <row r="408" spans="1:8" x14ac:dyDescent="0.3">
      <c r="A408" t="s">
        <v>414</v>
      </c>
      <c r="B408" t="s">
        <v>972</v>
      </c>
      <c r="C408" t="s">
        <v>1280</v>
      </c>
      <c r="D408" t="s">
        <v>1290</v>
      </c>
      <c r="E408">
        <v>1</v>
      </c>
      <c r="F408">
        <v>425</v>
      </c>
      <c r="G408">
        <v>425</v>
      </c>
      <c r="H408" t="s">
        <v>1313</v>
      </c>
    </row>
    <row r="409" spans="1:8" x14ac:dyDescent="0.3">
      <c r="A409" t="s">
        <v>415</v>
      </c>
      <c r="B409" t="s">
        <v>964</v>
      </c>
      <c r="C409" t="s">
        <v>1280</v>
      </c>
      <c r="D409" t="s">
        <v>1290</v>
      </c>
      <c r="E409">
        <v>9</v>
      </c>
      <c r="F409">
        <v>310</v>
      </c>
      <c r="G409">
        <v>2790</v>
      </c>
      <c r="H409" t="s">
        <v>1316</v>
      </c>
    </row>
    <row r="410" spans="1:8" x14ac:dyDescent="0.3">
      <c r="A410" t="s">
        <v>416</v>
      </c>
      <c r="B410" t="s">
        <v>1166</v>
      </c>
      <c r="C410" t="s">
        <v>1282</v>
      </c>
      <c r="D410" t="s">
        <v>1290</v>
      </c>
      <c r="E410">
        <v>9</v>
      </c>
      <c r="F410">
        <v>301</v>
      </c>
      <c r="G410">
        <v>2709</v>
      </c>
      <c r="H410" t="s">
        <v>1314</v>
      </c>
    </row>
    <row r="411" spans="1:8" x14ac:dyDescent="0.3">
      <c r="A411" t="s">
        <v>417</v>
      </c>
      <c r="B411" t="s">
        <v>1125</v>
      </c>
      <c r="C411" t="s">
        <v>1279</v>
      </c>
      <c r="D411" t="s">
        <v>1289</v>
      </c>
      <c r="E411">
        <v>2</v>
      </c>
      <c r="F411">
        <v>418</v>
      </c>
      <c r="G411">
        <v>836</v>
      </c>
      <c r="H411" t="s">
        <v>1315</v>
      </c>
    </row>
    <row r="412" spans="1:8" x14ac:dyDescent="0.3">
      <c r="A412" t="s">
        <v>418</v>
      </c>
      <c r="B412" t="s">
        <v>1143</v>
      </c>
      <c r="C412" t="s">
        <v>1280</v>
      </c>
      <c r="D412" t="s">
        <v>1290</v>
      </c>
      <c r="E412">
        <v>3</v>
      </c>
      <c r="F412">
        <v>218</v>
      </c>
      <c r="G412">
        <v>654</v>
      </c>
      <c r="H412" t="s">
        <v>1316</v>
      </c>
    </row>
    <row r="413" spans="1:8" x14ac:dyDescent="0.3">
      <c r="A413" t="s">
        <v>419</v>
      </c>
      <c r="B413" t="s">
        <v>1167</v>
      </c>
      <c r="C413" t="s">
        <v>1276</v>
      </c>
      <c r="D413" t="s">
        <v>1290</v>
      </c>
      <c r="E413">
        <v>1</v>
      </c>
      <c r="F413">
        <v>54</v>
      </c>
      <c r="G413">
        <v>54</v>
      </c>
      <c r="H413" t="s">
        <v>1315</v>
      </c>
    </row>
    <row r="414" spans="1:8" x14ac:dyDescent="0.3">
      <c r="A414" t="s">
        <v>420</v>
      </c>
      <c r="B414" t="s">
        <v>1168</v>
      </c>
      <c r="C414" t="s">
        <v>1282</v>
      </c>
      <c r="D414" t="s">
        <v>1290</v>
      </c>
      <c r="E414">
        <v>9</v>
      </c>
      <c r="F414">
        <v>482</v>
      </c>
      <c r="G414">
        <v>4338</v>
      </c>
      <c r="H414" t="s">
        <v>1313</v>
      </c>
    </row>
    <row r="415" spans="1:8" x14ac:dyDescent="0.3">
      <c r="A415" t="s">
        <v>421</v>
      </c>
      <c r="B415" t="s">
        <v>979</v>
      </c>
      <c r="C415" t="s">
        <v>1280</v>
      </c>
      <c r="D415" t="s">
        <v>1290</v>
      </c>
      <c r="E415">
        <v>10</v>
      </c>
      <c r="F415">
        <v>341</v>
      </c>
      <c r="G415">
        <v>3410</v>
      </c>
      <c r="H415" t="s">
        <v>1316</v>
      </c>
    </row>
    <row r="416" spans="1:8" x14ac:dyDescent="0.3">
      <c r="A416" t="s">
        <v>422</v>
      </c>
      <c r="B416" t="s">
        <v>1169</v>
      </c>
      <c r="C416" t="s">
        <v>1277</v>
      </c>
      <c r="D416" t="s">
        <v>1291</v>
      </c>
      <c r="E416">
        <v>10</v>
      </c>
      <c r="F416">
        <v>359</v>
      </c>
      <c r="G416">
        <v>3590</v>
      </c>
      <c r="H416" t="s">
        <v>1316</v>
      </c>
    </row>
    <row r="417" spans="1:8" x14ac:dyDescent="0.3">
      <c r="A417" t="s">
        <v>423</v>
      </c>
      <c r="B417" t="s">
        <v>1134</v>
      </c>
      <c r="C417" t="s">
        <v>1277</v>
      </c>
      <c r="D417" t="s">
        <v>1289</v>
      </c>
      <c r="E417">
        <v>8</v>
      </c>
      <c r="F417">
        <v>850</v>
      </c>
      <c r="G417">
        <v>6800</v>
      </c>
      <c r="H417" t="s">
        <v>1315</v>
      </c>
    </row>
    <row r="418" spans="1:8" x14ac:dyDescent="0.3">
      <c r="A418" t="s">
        <v>424</v>
      </c>
      <c r="B418" t="s">
        <v>961</v>
      </c>
      <c r="C418" t="s">
        <v>1280</v>
      </c>
      <c r="D418" t="s">
        <v>1290</v>
      </c>
      <c r="E418">
        <v>2</v>
      </c>
      <c r="F418">
        <v>441</v>
      </c>
      <c r="G418">
        <v>882</v>
      </c>
      <c r="H418" t="s">
        <v>1315</v>
      </c>
    </row>
    <row r="419" spans="1:8" x14ac:dyDescent="0.3">
      <c r="A419" t="s">
        <v>425</v>
      </c>
      <c r="B419" t="s">
        <v>969</v>
      </c>
      <c r="C419" t="s">
        <v>1276</v>
      </c>
      <c r="D419" t="s">
        <v>1292</v>
      </c>
      <c r="E419">
        <v>10</v>
      </c>
      <c r="F419">
        <v>500</v>
      </c>
      <c r="G419">
        <v>5000</v>
      </c>
      <c r="H419" t="s">
        <v>1313</v>
      </c>
    </row>
    <row r="420" spans="1:8" x14ac:dyDescent="0.3">
      <c r="A420" t="s">
        <v>426</v>
      </c>
      <c r="B420" t="s">
        <v>922</v>
      </c>
      <c r="C420" t="s">
        <v>1276</v>
      </c>
      <c r="D420" t="s">
        <v>1290</v>
      </c>
      <c r="E420">
        <v>10</v>
      </c>
      <c r="F420">
        <v>506</v>
      </c>
      <c r="G420">
        <v>5060</v>
      </c>
      <c r="H420" t="s">
        <v>1316</v>
      </c>
    </row>
    <row r="421" spans="1:8" x14ac:dyDescent="0.3">
      <c r="A421" t="s">
        <v>427</v>
      </c>
      <c r="B421" t="s">
        <v>1170</v>
      </c>
      <c r="C421" t="s">
        <v>1279</v>
      </c>
      <c r="D421" t="s">
        <v>1289</v>
      </c>
      <c r="E421">
        <v>4</v>
      </c>
      <c r="F421">
        <v>47</v>
      </c>
      <c r="G421">
        <v>188</v>
      </c>
      <c r="H421" t="s">
        <v>1314</v>
      </c>
    </row>
    <row r="422" spans="1:8" x14ac:dyDescent="0.3">
      <c r="A422" t="s">
        <v>428</v>
      </c>
      <c r="B422" t="s">
        <v>962</v>
      </c>
      <c r="C422" t="s">
        <v>1274</v>
      </c>
      <c r="D422" t="s">
        <v>1290</v>
      </c>
      <c r="E422">
        <v>1</v>
      </c>
      <c r="F422">
        <v>466</v>
      </c>
      <c r="G422">
        <v>466</v>
      </c>
      <c r="H422" t="s">
        <v>1316</v>
      </c>
    </row>
    <row r="423" spans="1:8" x14ac:dyDescent="0.3">
      <c r="A423" t="s">
        <v>429</v>
      </c>
      <c r="B423" t="s">
        <v>1171</v>
      </c>
      <c r="C423" t="s">
        <v>1279</v>
      </c>
      <c r="D423" t="s">
        <v>1289</v>
      </c>
      <c r="E423">
        <v>7</v>
      </c>
      <c r="F423">
        <v>722</v>
      </c>
      <c r="G423">
        <v>5054</v>
      </c>
      <c r="H423" t="s">
        <v>1316</v>
      </c>
    </row>
    <row r="424" spans="1:8" x14ac:dyDescent="0.3">
      <c r="A424" t="s">
        <v>430</v>
      </c>
      <c r="B424" t="s">
        <v>1167</v>
      </c>
      <c r="C424" t="s">
        <v>1282</v>
      </c>
      <c r="D424" t="s">
        <v>1290</v>
      </c>
      <c r="E424">
        <v>1</v>
      </c>
      <c r="F424">
        <v>737</v>
      </c>
      <c r="H424" t="s">
        <v>1313</v>
      </c>
    </row>
    <row r="425" spans="1:8" x14ac:dyDescent="0.3">
      <c r="A425" t="s">
        <v>431</v>
      </c>
      <c r="B425" t="s">
        <v>1024</v>
      </c>
      <c r="C425" t="s">
        <v>1280</v>
      </c>
      <c r="D425" t="s">
        <v>1290</v>
      </c>
      <c r="E425">
        <v>8</v>
      </c>
      <c r="F425">
        <v>553</v>
      </c>
      <c r="G425">
        <v>4424</v>
      </c>
      <c r="H425" t="s">
        <v>1315</v>
      </c>
    </row>
    <row r="426" spans="1:8" x14ac:dyDescent="0.3">
      <c r="A426" t="s">
        <v>432</v>
      </c>
      <c r="B426" t="s">
        <v>1112</v>
      </c>
      <c r="C426" t="s">
        <v>1279</v>
      </c>
      <c r="D426" t="s">
        <v>1289</v>
      </c>
      <c r="E426">
        <v>8</v>
      </c>
      <c r="F426">
        <v>560</v>
      </c>
      <c r="G426">
        <v>4480</v>
      </c>
      <c r="H426" t="s">
        <v>1315</v>
      </c>
    </row>
    <row r="427" spans="1:8" x14ac:dyDescent="0.3">
      <c r="A427" t="s">
        <v>433</v>
      </c>
      <c r="B427" t="s">
        <v>984</v>
      </c>
      <c r="C427" t="s">
        <v>1277</v>
      </c>
      <c r="D427" t="s">
        <v>1289</v>
      </c>
      <c r="E427">
        <v>10</v>
      </c>
      <c r="F427">
        <v>510</v>
      </c>
      <c r="G427">
        <v>5100</v>
      </c>
      <c r="H427" t="s">
        <v>1313</v>
      </c>
    </row>
    <row r="428" spans="1:8" x14ac:dyDescent="0.3">
      <c r="A428" t="s">
        <v>434</v>
      </c>
      <c r="B428" t="s">
        <v>1172</v>
      </c>
      <c r="C428" t="s">
        <v>1277</v>
      </c>
      <c r="D428" t="s">
        <v>1289</v>
      </c>
      <c r="E428">
        <v>9</v>
      </c>
      <c r="F428">
        <v>320</v>
      </c>
      <c r="G428">
        <v>2880</v>
      </c>
      <c r="H428" t="s">
        <v>1315</v>
      </c>
    </row>
    <row r="429" spans="1:8" x14ac:dyDescent="0.3">
      <c r="A429" t="s">
        <v>435</v>
      </c>
      <c r="B429" t="s">
        <v>1173</v>
      </c>
      <c r="C429" t="s">
        <v>1277</v>
      </c>
      <c r="D429" t="s">
        <v>1289</v>
      </c>
      <c r="E429">
        <v>4</v>
      </c>
      <c r="F429">
        <v>721</v>
      </c>
      <c r="G429">
        <v>2884</v>
      </c>
      <c r="H429" t="s">
        <v>1316</v>
      </c>
    </row>
    <row r="430" spans="1:8" x14ac:dyDescent="0.3">
      <c r="A430" t="s">
        <v>436</v>
      </c>
      <c r="B430" t="s">
        <v>978</v>
      </c>
      <c r="C430" t="s">
        <v>1280</v>
      </c>
      <c r="D430" t="s">
        <v>1290</v>
      </c>
      <c r="E430">
        <v>8</v>
      </c>
      <c r="F430">
        <v>372</v>
      </c>
      <c r="G430">
        <v>2976</v>
      </c>
      <c r="H430" t="s">
        <v>1315</v>
      </c>
    </row>
    <row r="431" spans="1:8" x14ac:dyDescent="0.3">
      <c r="A431" t="s">
        <v>437</v>
      </c>
      <c r="B431" t="s">
        <v>1174</v>
      </c>
      <c r="C431" t="s">
        <v>1277</v>
      </c>
      <c r="D431" t="s">
        <v>1289</v>
      </c>
      <c r="E431">
        <v>2</v>
      </c>
      <c r="F431">
        <v>602</v>
      </c>
      <c r="G431">
        <v>1204</v>
      </c>
      <c r="H431" t="s">
        <v>1316</v>
      </c>
    </row>
    <row r="432" spans="1:8" x14ac:dyDescent="0.3">
      <c r="A432" t="s">
        <v>438</v>
      </c>
      <c r="B432" t="s">
        <v>1072</v>
      </c>
      <c r="C432" t="s">
        <v>1275</v>
      </c>
      <c r="D432" t="s">
        <v>1289</v>
      </c>
      <c r="E432">
        <v>6</v>
      </c>
      <c r="F432">
        <v>806</v>
      </c>
      <c r="G432">
        <v>4836</v>
      </c>
      <c r="H432" t="s">
        <v>1315</v>
      </c>
    </row>
    <row r="433" spans="1:8" x14ac:dyDescent="0.3">
      <c r="A433" t="s">
        <v>439</v>
      </c>
      <c r="B433" t="s">
        <v>1142</v>
      </c>
      <c r="C433" t="s">
        <v>1276</v>
      </c>
      <c r="D433" t="s">
        <v>1290</v>
      </c>
      <c r="E433">
        <v>5</v>
      </c>
      <c r="F433">
        <v>746</v>
      </c>
      <c r="G433">
        <v>3730</v>
      </c>
      <c r="H433" t="s">
        <v>1315</v>
      </c>
    </row>
    <row r="434" spans="1:8" x14ac:dyDescent="0.3">
      <c r="A434" t="s">
        <v>440</v>
      </c>
      <c r="B434" t="s">
        <v>1135</v>
      </c>
      <c r="C434" t="s">
        <v>1282</v>
      </c>
      <c r="D434" t="s">
        <v>1290</v>
      </c>
      <c r="E434">
        <v>5</v>
      </c>
      <c r="F434">
        <v>780</v>
      </c>
      <c r="G434">
        <v>3900</v>
      </c>
      <c r="H434" t="s">
        <v>1313</v>
      </c>
    </row>
    <row r="435" spans="1:8" x14ac:dyDescent="0.3">
      <c r="A435" t="s">
        <v>441</v>
      </c>
      <c r="B435" t="s">
        <v>1086</v>
      </c>
      <c r="C435" t="s">
        <v>1274</v>
      </c>
      <c r="D435" t="s">
        <v>1290</v>
      </c>
      <c r="E435">
        <v>9</v>
      </c>
      <c r="F435">
        <v>292</v>
      </c>
      <c r="G435">
        <v>2628</v>
      </c>
      <c r="H435" t="s">
        <v>1315</v>
      </c>
    </row>
    <row r="436" spans="1:8" x14ac:dyDescent="0.3">
      <c r="A436" t="s">
        <v>442</v>
      </c>
      <c r="B436" t="s">
        <v>1075</v>
      </c>
      <c r="C436" t="s">
        <v>1287</v>
      </c>
      <c r="D436" t="s">
        <v>1289</v>
      </c>
      <c r="E436">
        <v>2</v>
      </c>
      <c r="F436">
        <v>645</v>
      </c>
      <c r="G436">
        <v>1290</v>
      </c>
      <c r="H436" t="s">
        <v>1313</v>
      </c>
    </row>
    <row r="437" spans="1:8" x14ac:dyDescent="0.3">
      <c r="A437" t="s">
        <v>443</v>
      </c>
      <c r="B437" t="s">
        <v>1001</v>
      </c>
      <c r="C437" t="s">
        <v>1274</v>
      </c>
      <c r="D437" t="s">
        <v>1290</v>
      </c>
      <c r="E437">
        <v>1</v>
      </c>
      <c r="F437">
        <v>700</v>
      </c>
      <c r="G437">
        <v>700</v>
      </c>
      <c r="H437" t="s">
        <v>1313</v>
      </c>
    </row>
    <row r="438" spans="1:8" x14ac:dyDescent="0.3">
      <c r="A438" t="s">
        <v>444</v>
      </c>
      <c r="B438" t="s">
        <v>1175</v>
      </c>
      <c r="C438" t="s">
        <v>1274</v>
      </c>
      <c r="D438" t="s">
        <v>1290</v>
      </c>
      <c r="E438">
        <v>1</v>
      </c>
      <c r="F438">
        <v>117</v>
      </c>
      <c r="G438">
        <v>117</v>
      </c>
      <c r="H438" t="s">
        <v>1315</v>
      </c>
    </row>
    <row r="439" spans="1:8" x14ac:dyDescent="0.3">
      <c r="A439" t="s">
        <v>445</v>
      </c>
      <c r="B439" t="s">
        <v>1167</v>
      </c>
      <c r="C439" t="s">
        <v>1282</v>
      </c>
      <c r="D439" t="s">
        <v>1290</v>
      </c>
      <c r="E439">
        <v>2</v>
      </c>
      <c r="F439">
        <v>712</v>
      </c>
      <c r="G439">
        <v>1424</v>
      </c>
      <c r="H439" t="s">
        <v>1314</v>
      </c>
    </row>
    <row r="440" spans="1:8" x14ac:dyDescent="0.3">
      <c r="A440" t="s">
        <v>446</v>
      </c>
      <c r="B440" t="s">
        <v>1003</v>
      </c>
      <c r="C440" t="s">
        <v>1279</v>
      </c>
      <c r="D440" t="s">
        <v>1289</v>
      </c>
      <c r="E440">
        <v>7</v>
      </c>
      <c r="F440">
        <v>683</v>
      </c>
      <c r="G440">
        <v>4781</v>
      </c>
      <c r="H440" t="s">
        <v>1316</v>
      </c>
    </row>
    <row r="441" spans="1:8" x14ac:dyDescent="0.3">
      <c r="A441" t="s">
        <v>447</v>
      </c>
      <c r="B441" t="s">
        <v>1127</v>
      </c>
      <c r="C441" t="s">
        <v>1274</v>
      </c>
      <c r="D441" t="s">
        <v>1290</v>
      </c>
      <c r="E441">
        <v>5</v>
      </c>
      <c r="F441">
        <v>343</v>
      </c>
      <c r="G441">
        <v>1715</v>
      </c>
      <c r="H441" t="s">
        <v>1314</v>
      </c>
    </row>
    <row r="442" spans="1:8" x14ac:dyDescent="0.3">
      <c r="A442" t="s">
        <v>448</v>
      </c>
      <c r="B442" t="s">
        <v>1154</v>
      </c>
      <c r="C442" t="s">
        <v>1273</v>
      </c>
      <c r="D442" t="s">
        <v>1289</v>
      </c>
      <c r="E442">
        <v>10</v>
      </c>
      <c r="F442">
        <v>252</v>
      </c>
      <c r="G442">
        <v>2520</v>
      </c>
      <c r="H442" t="s">
        <v>1314</v>
      </c>
    </row>
    <row r="443" spans="1:8" x14ac:dyDescent="0.3">
      <c r="A443" t="s">
        <v>449</v>
      </c>
      <c r="B443" t="s">
        <v>999</v>
      </c>
      <c r="C443" t="s">
        <v>1279</v>
      </c>
      <c r="D443" t="s">
        <v>1289</v>
      </c>
      <c r="E443">
        <v>7</v>
      </c>
      <c r="F443">
        <v>872</v>
      </c>
      <c r="G443">
        <v>6104</v>
      </c>
      <c r="H443" t="s">
        <v>1314</v>
      </c>
    </row>
    <row r="444" spans="1:8" x14ac:dyDescent="0.3">
      <c r="A444" t="s">
        <v>450</v>
      </c>
      <c r="B444" t="s">
        <v>1176</v>
      </c>
      <c r="C444" t="s">
        <v>1275</v>
      </c>
      <c r="D444" t="s">
        <v>1289</v>
      </c>
      <c r="E444">
        <v>8</v>
      </c>
      <c r="F444">
        <v>205</v>
      </c>
      <c r="G444">
        <v>1640</v>
      </c>
      <c r="H444" t="s">
        <v>1314</v>
      </c>
    </row>
    <row r="445" spans="1:8" x14ac:dyDescent="0.3">
      <c r="A445" t="s">
        <v>451</v>
      </c>
      <c r="B445" t="s">
        <v>1143</v>
      </c>
      <c r="C445" t="s">
        <v>1276</v>
      </c>
      <c r="D445" t="s">
        <v>1292</v>
      </c>
      <c r="E445">
        <v>5</v>
      </c>
      <c r="F445">
        <v>596</v>
      </c>
      <c r="G445">
        <v>2980</v>
      </c>
      <c r="H445" t="s">
        <v>1314</v>
      </c>
    </row>
    <row r="446" spans="1:8" x14ac:dyDescent="0.3">
      <c r="A446" t="s">
        <v>452</v>
      </c>
      <c r="B446" t="s">
        <v>1151</v>
      </c>
      <c r="C446" t="s">
        <v>1280</v>
      </c>
      <c r="D446" t="s">
        <v>1290</v>
      </c>
      <c r="E446">
        <v>5</v>
      </c>
      <c r="F446">
        <v>480</v>
      </c>
      <c r="G446">
        <v>2400</v>
      </c>
      <c r="H446" t="s">
        <v>1316</v>
      </c>
    </row>
    <row r="447" spans="1:8" x14ac:dyDescent="0.3">
      <c r="A447" t="s">
        <v>453</v>
      </c>
      <c r="B447" t="s">
        <v>970</v>
      </c>
      <c r="C447" t="s">
        <v>1287</v>
      </c>
      <c r="D447" t="s">
        <v>1289</v>
      </c>
      <c r="E447">
        <v>9</v>
      </c>
      <c r="F447">
        <v>494</v>
      </c>
      <c r="G447">
        <v>4446</v>
      </c>
      <c r="H447" t="s">
        <v>1313</v>
      </c>
    </row>
    <row r="448" spans="1:8" x14ac:dyDescent="0.3">
      <c r="A448" t="s">
        <v>454</v>
      </c>
      <c r="B448" t="s">
        <v>1136</v>
      </c>
      <c r="C448" t="s">
        <v>1273</v>
      </c>
      <c r="D448" t="s">
        <v>1289</v>
      </c>
      <c r="E448">
        <v>6</v>
      </c>
      <c r="F448">
        <v>181</v>
      </c>
      <c r="G448">
        <v>1086</v>
      </c>
      <c r="H448" t="s">
        <v>1315</v>
      </c>
    </row>
    <row r="449" spans="1:8" x14ac:dyDescent="0.3">
      <c r="A449" t="s">
        <v>455</v>
      </c>
      <c r="B449" t="s">
        <v>914</v>
      </c>
      <c r="C449" t="s">
        <v>1279</v>
      </c>
      <c r="D449" t="s">
        <v>1289</v>
      </c>
      <c r="E449">
        <v>1</v>
      </c>
      <c r="F449">
        <v>769</v>
      </c>
      <c r="G449">
        <v>769</v>
      </c>
      <c r="H449" t="s">
        <v>1315</v>
      </c>
    </row>
    <row r="450" spans="1:8" x14ac:dyDescent="0.3">
      <c r="A450" t="s">
        <v>456</v>
      </c>
      <c r="B450" t="s">
        <v>1177</v>
      </c>
      <c r="C450" t="s">
        <v>1274</v>
      </c>
      <c r="D450" t="s">
        <v>1290</v>
      </c>
      <c r="E450">
        <v>3</v>
      </c>
      <c r="F450">
        <v>640</v>
      </c>
      <c r="G450">
        <v>1920</v>
      </c>
      <c r="H450" t="s">
        <v>1316</v>
      </c>
    </row>
    <row r="451" spans="1:8" x14ac:dyDescent="0.3">
      <c r="A451" t="s">
        <v>457</v>
      </c>
      <c r="B451" t="s">
        <v>1030</v>
      </c>
      <c r="C451" t="s">
        <v>1275</v>
      </c>
      <c r="D451" t="s">
        <v>1289</v>
      </c>
      <c r="E451">
        <v>9</v>
      </c>
      <c r="F451">
        <v>350</v>
      </c>
      <c r="G451">
        <v>3150</v>
      </c>
      <c r="H451" t="s">
        <v>1316</v>
      </c>
    </row>
    <row r="452" spans="1:8" x14ac:dyDescent="0.3">
      <c r="A452" t="s">
        <v>458</v>
      </c>
      <c r="B452" t="s">
        <v>1043</v>
      </c>
      <c r="C452" t="s">
        <v>1273</v>
      </c>
      <c r="D452" t="s">
        <v>1289</v>
      </c>
      <c r="E452">
        <v>3</v>
      </c>
      <c r="F452">
        <v>158</v>
      </c>
      <c r="G452">
        <v>474</v>
      </c>
      <c r="H452" t="s">
        <v>1315</v>
      </c>
    </row>
    <row r="453" spans="1:8" x14ac:dyDescent="0.3">
      <c r="A453" t="s">
        <v>459</v>
      </c>
      <c r="B453" t="s">
        <v>1178</v>
      </c>
      <c r="C453" t="s">
        <v>1274</v>
      </c>
      <c r="D453" t="s">
        <v>1290</v>
      </c>
      <c r="E453">
        <v>1</v>
      </c>
      <c r="F453">
        <v>282</v>
      </c>
      <c r="G453">
        <v>282</v>
      </c>
      <c r="H453" t="s">
        <v>1313</v>
      </c>
    </row>
    <row r="454" spans="1:8" x14ac:dyDescent="0.3">
      <c r="A454" t="s">
        <v>460</v>
      </c>
      <c r="B454" t="s">
        <v>968</v>
      </c>
      <c r="C454" t="s">
        <v>1282</v>
      </c>
      <c r="D454" t="s">
        <v>1290</v>
      </c>
      <c r="E454">
        <v>5</v>
      </c>
      <c r="F454">
        <v>352</v>
      </c>
      <c r="G454">
        <v>1760</v>
      </c>
      <c r="H454" t="s">
        <v>1314</v>
      </c>
    </row>
    <row r="455" spans="1:8" x14ac:dyDescent="0.3">
      <c r="A455" t="s">
        <v>461</v>
      </c>
      <c r="B455" t="s">
        <v>996</v>
      </c>
      <c r="C455" t="s">
        <v>1277</v>
      </c>
      <c r="D455" t="s">
        <v>1289</v>
      </c>
      <c r="E455">
        <v>6</v>
      </c>
      <c r="F455">
        <v>724</v>
      </c>
      <c r="G455">
        <v>4344</v>
      </c>
      <c r="H455" t="s">
        <v>1314</v>
      </c>
    </row>
    <row r="456" spans="1:8" x14ac:dyDescent="0.3">
      <c r="A456" t="s">
        <v>462</v>
      </c>
      <c r="B456" t="s">
        <v>930</v>
      </c>
      <c r="C456" t="s">
        <v>1273</v>
      </c>
      <c r="D456" t="s">
        <v>1289</v>
      </c>
      <c r="E456">
        <v>8</v>
      </c>
      <c r="F456">
        <v>329</v>
      </c>
      <c r="G456">
        <v>2632</v>
      </c>
      <c r="H456" t="s">
        <v>1316</v>
      </c>
    </row>
    <row r="457" spans="1:8" x14ac:dyDescent="0.3">
      <c r="A457" t="s">
        <v>463</v>
      </c>
      <c r="B457" t="s">
        <v>1081</v>
      </c>
      <c r="C457" t="s">
        <v>1277</v>
      </c>
      <c r="D457" t="s">
        <v>1289</v>
      </c>
      <c r="E457">
        <v>2</v>
      </c>
      <c r="F457">
        <v>669</v>
      </c>
      <c r="G457">
        <v>1338</v>
      </c>
      <c r="H457" t="s">
        <v>1315</v>
      </c>
    </row>
    <row r="458" spans="1:8" x14ac:dyDescent="0.3">
      <c r="A458" t="s">
        <v>464</v>
      </c>
      <c r="B458" t="s">
        <v>1043</v>
      </c>
      <c r="C458" t="s">
        <v>1283</v>
      </c>
      <c r="D458" t="s">
        <v>1290</v>
      </c>
      <c r="E458">
        <v>4</v>
      </c>
      <c r="F458">
        <v>151</v>
      </c>
      <c r="G458">
        <v>604</v>
      </c>
      <c r="H458" t="s">
        <v>1313</v>
      </c>
    </row>
    <row r="459" spans="1:8" x14ac:dyDescent="0.3">
      <c r="A459" t="s">
        <v>465</v>
      </c>
      <c r="B459" t="s">
        <v>1008</v>
      </c>
      <c r="C459" t="s">
        <v>1282</v>
      </c>
      <c r="D459" t="s">
        <v>1290</v>
      </c>
      <c r="E459">
        <v>10</v>
      </c>
      <c r="F459">
        <v>397</v>
      </c>
      <c r="G459">
        <v>3970</v>
      </c>
      <c r="H459" t="s">
        <v>1316</v>
      </c>
    </row>
    <row r="460" spans="1:8" x14ac:dyDescent="0.3">
      <c r="A460" t="s">
        <v>466</v>
      </c>
      <c r="B460" t="s">
        <v>931</v>
      </c>
      <c r="C460" t="s">
        <v>1274</v>
      </c>
      <c r="D460" t="s">
        <v>1290</v>
      </c>
      <c r="E460">
        <v>4</v>
      </c>
      <c r="F460">
        <v>711</v>
      </c>
      <c r="G460">
        <v>2844</v>
      </c>
      <c r="H460" t="s">
        <v>1314</v>
      </c>
    </row>
    <row r="461" spans="1:8" x14ac:dyDescent="0.3">
      <c r="A461" t="s">
        <v>467</v>
      </c>
      <c r="B461" t="s">
        <v>928</v>
      </c>
      <c r="C461" t="s">
        <v>1282</v>
      </c>
      <c r="D461" t="s">
        <v>1290</v>
      </c>
      <c r="E461">
        <v>9</v>
      </c>
      <c r="F461">
        <v>735</v>
      </c>
      <c r="G461">
        <v>6615</v>
      </c>
      <c r="H461" t="s">
        <v>1314</v>
      </c>
    </row>
    <row r="462" spans="1:8" x14ac:dyDescent="0.3">
      <c r="A462" t="s">
        <v>468</v>
      </c>
      <c r="B462" t="s">
        <v>1179</v>
      </c>
      <c r="C462" t="s">
        <v>1273</v>
      </c>
      <c r="D462" t="s">
        <v>1289</v>
      </c>
      <c r="E462">
        <v>1</v>
      </c>
      <c r="F462">
        <v>863</v>
      </c>
      <c r="G462">
        <v>863</v>
      </c>
      <c r="H462" t="s">
        <v>1313</v>
      </c>
    </row>
    <row r="463" spans="1:8" x14ac:dyDescent="0.3">
      <c r="A463" t="s">
        <v>469</v>
      </c>
      <c r="B463" t="s">
        <v>1180</v>
      </c>
      <c r="C463" t="s">
        <v>1279</v>
      </c>
      <c r="D463" t="s">
        <v>1291</v>
      </c>
      <c r="E463">
        <v>3</v>
      </c>
      <c r="F463">
        <v>350</v>
      </c>
      <c r="G463">
        <v>1050</v>
      </c>
      <c r="H463" t="s">
        <v>1318</v>
      </c>
    </row>
    <row r="464" spans="1:8" x14ac:dyDescent="0.3">
      <c r="A464" t="s">
        <v>470</v>
      </c>
      <c r="B464" t="s">
        <v>961</v>
      </c>
      <c r="C464" t="s">
        <v>1273</v>
      </c>
      <c r="D464" t="s">
        <v>1289</v>
      </c>
      <c r="E464">
        <v>4</v>
      </c>
      <c r="F464">
        <v>749</v>
      </c>
      <c r="G464">
        <v>2996</v>
      </c>
      <c r="H464" t="s">
        <v>1316</v>
      </c>
    </row>
    <row r="465" spans="1:8" x14ac:dyDescent="0.3">
      <c r="A465" t="s">
        <v>471</v>
      </c>
      <c r="B465" t="s">
        <v>1071</v>
      </c>
      <c r="C465" t="s">
        <v>1273</v>
      </c>
      <c r="D465" t="s">
        <v>1289</v>
      </c>
      <c r="E465">
        <v>9</v>
      </c>
      <c r="F465">
        <v>471</v>
      </c>
      <c r="G465">
        <v>4239</v>
      </c>
      <c r="H465" t="s">
        <v>1316</v>
      </c>
    </row>
    <row r="466" spans="1:8" x14ac:dyDescent="0.3">
      <c r="A466" t="s">
        <v>472</v>
      </c>
      <c r="B466" t="s">
        <v>1181</v>
      </c>
      <c r="C466" t="s">
        <v>1279</v>
      </c>
      <c r="D466" t="s">
        <v>1289</v>
      </c>
      <c r="E466">
        <v>9</v>
      </c>
      <c r="F466">
        <v>440</v>
      </c>
      <c r="G466">
        <v>3960</v>
      </c>
      <c r="H466" t="s">
        <v>1314</v>
      </c>
    </row>
    <row r="467" spans="1:8" x14ac:dyDescent="0.3">
      <c r="A467" t="s">
        <v>473</v>
      </c>
      <c r="B467" t="s">
        <v>1162</v>
      </c>
      <c r="C467" t="s">
        <v>1282</v>
      </c>
      <c r="D467" t="s">
        <v>1290</v>
      </c>
      <c r="E467">
        <v>5</v>
      </c>
      <c r="F467">
        <v>755</v>
      </c>
      <c r="G467">
        <v>3775</v>
      </c>
      <c r="H467" t="s">
        <v>1316</v>
      </c>
    </row>
    <row r="468" spans="1:8" x14ac:dyDescent="0.3">
      <c r="A468" t="s">
        <v>474</v>
      </c>
      <c r="B468" t="s">
        <v>1182</v>
      </c>
      <c r="C468" t="s">
        <v>1277</v>
      </c>
      <c r="D468" t="s">
        <v>1289</v>
      </c>
      <c r="E468">
        <v>1</v>
      </c>
      <c r="F468">
        <v>778</v>
      </c>
      <c r="G468">
        <v>778</v>
      </c>
      <c r="H468" t="s">
        <v>1314</v>
      </c>
    </row>
    <row r="469" spans="1:8" x14ac:dyDescent="0.3">
      <c r="A469" t="s">
        <v>475</v>
      </c>
      <c r="B469" t="s">
        <v>1077</v>
      </c>
      <c r="C469" t="s">
        <v>1276</v>
      </c>
      <c r="D469" t="s">
        <v>1290</v>
      </c>
      <c r="E469">
        <v>7</v>
      </c>
      <c r="F469">
        <v>367</v>
      </c>
      <c r="G469">
        <v>2569</v>
      </c>
      <c r="H469" t="s">
        <v>1314</v>
      </c>
    </row>
    <row r="470" spans="1:8" x14ac:dyDescent="0.3">
      <c r="A470" t="s">
        <v>476</v>
      </c>
      <c r="B470" t="s">
        <v>924</v>
      </c>
      <c r="C470" t="s">
        <v>1276</v>
      </c>
      <c r="D470" t="s">
        <v>1290</v>
      </c>
      <c r="E470">
        <v>2</v>
      </c>
      <c r="F470">
        <v>498</v>
      </c>
      <c r="G470">
        <v>996</v>
      </c>
      <c r="H470" t="s">
        <v>1315</v>
      </c>
    </row>
    <row r="471" spans="1:8" x14ac:dyDescent="0.3">
      <c r="A471" t="s">
        <v>477</v>
      </c>
      <c r="B471" t="s">
        <v>1183</v>
      </c>
      <c r="C471" t="s">
        <v>1275</v>
      </c>
      <c r="D471" t="s">
        <v>1289</v>
      </c>
      <c r="E471">
        <v>3</v>
      </c>
      <c r="F471">
        <v>802</v>
      </c>
      <c r="G471">
        <v>2406</v>
      </c>
      <c r="H471" t="s">
        <v>1316</v>
      </c>
    </row>
    <row r="472" spans="1:8" x14ac:dyDescent="0.3">
      <c r="A472" t="s">
        <v>478</v>
      </c>
      <c r="B472" t="s">
        <v>1184</v>
      </c>
      <c r="C472" t="s">
        <v>1288</v>
      </c>
      <c r="D472" t="s">
        <v>1290</v>
      </c>
      <c r="E472">
        <v>7</v>
      </c>
      <c r="F472">
        <v>474</v>
      </c>
      <c r="G472">
        <v>3318</v>
      </c>
      <c r="H472" t="s">
        <v>1316</v>
      </c>
    </row>
    <row r="473" spans="1:8" x14ac:dyDescent="0.3">
      <c r="A473" t="s">
        <v>479</v>
      </c>
      <c r="B473" t="s">
        <v>1185</v>
      </c>
      <c r="C473" t="s">
        <v>1273</v>
      </c>
      <c r="D473" t="s">
        <v>1289</v>
      </c>
      <c r="E473">
        <v>9</v>
      </c>
      <c r="F473">
        <v>151</v>
      </c>
      <c r="G473">
        <v>1359</v>
      </c>
      <c r="H473" t="s">
        <v>1315</v>
      </c>
    </row>
    <row r="474" spans="1:8" x14ac:dyDescent="0.3">
      <c r="A474" t="s">
        <v>480</v>
      </c>
      <c r="B474" t="s">
        <v>1186</v>
      </c>
      <c r="C474" t="s">
        <v>1273</v>
      </c>
      <c r="D474" t="s">
        <v>1289</v>
      </c>
      <c r="E474">
        <v>0</v>
      </c>
      <c r="F474">
        <v>565</v>
      </c>
      <c r="G474">
        <v>1695</v>
      </c>
      <c r="H474" t="s">
        <v>1313</v>
      </c>
    </row>
    <row r="475" spans="1:8" x14ac:dyDescent="0.3">
      <c r="A475" t="s">
        <v>481</v>
      </c>
      <c r="B475" t="s">
        <v>1162</v>
      </c>
      <c r="C475" t="s">
        <v>1274</v>
      </c>
      <c r="D475" t="s">
        <v>1290</v>
      </c>
      <c r="E475">
        <v>1</v>
      </c>
      <c r="F475">
        <v>789</v>
      </c>
      <c r="G475">
        <v>789</v>
      </c>
      <c r="H475" t="s">
        <v>1315</v>
      </c>
    </row>
    <row r="476" spans="1:8" x14ac:dyDescent="0.3">
      <c r="A476" t="s">
        <v>482</v>
      </c>
      <c r="B476" t="s">
        <v>1187</v>
      </c>
      <c r="C476" t="s">
        <v>1282</v>
      </c>
      <c r="D476" t="s">
        <v>1290</v>
      </c>
      <c r="E476">
        <v>9</v>
      </c>
      <c r="F476">
        <v>449</v>
      </c>
      <c r="G476">
        <v>4041</v>
      </c>
      <c r="H476" t="s">
        <v>1316</v>
      </c>
    </row>
    <row r="477" spans="1:8" x14ac:dyDescent="0.3">
      <c r="A477" t="s">
        <v>483</v>
      </c>
      <c r="B477" t="s">
        <v>1188</v>
      </c>
      <c r="C477" t="s">
        <v>1274</v>
      </c>
      <c r="D477" t="s">
        <v>1290</v>
      </c>
      <c r="E477">
        <v>4</v>
      </c>
      <c r="F477">
        <v>486</v>
      </c>
      <c r="G477">
        <v>1944</v>
      </c>
      <c r="H477" t="s">
        <v>1313</v>
      </c>
    </row>
    <row r="478" spans="1:8" x14ac:dyDescent="0.3">
      <c r="A478" t="s">
        <v>484</v>
      </c>
      <c r="B478" t="s">
        <v>936</v>
      </c>
      <c r="C478" t="s">
        <v>1277</v>
      </c>
      <c r="D478" t="s">
        <v>1289</v>
      </c>
      <c r="E478">
        <v>4</v>
      </c>
      <c r="F478">
        <v>757</v>
      </c>
      <c r="G478">
        <v>3028</v>
      </c>
      <c r="H478" t="s">
        <v>1314</v>
      </c>
    </row>
    <row r="479" spans="1:8" x14ac:dyDescent="0.3">
      <c r="A479" t="s">
        <v>485</v>
      </c>
      <c r="B479" t="s">
        <v>1134</v>
      </c>
      <c r="C479" t="s">
        <v>1275</v>
      </c>
      <c r="D479" t="s">
        <v>1289</v>
      </c>
      <c r="E479">
        <v>10</v>
      </c>
      <c r="F479">
        <v>799</v>
      </c>
      <c r="G479">
        <v>7990</v>
      </c>
      <c r="H479" t="s">
        <v>1313</v>
      </c>
    </row>
    <row r="480" spans="1:8" x14ac:dyDescent="0.3">
      <c r="A480" t="s">
        <v>486</v>
      </c>
      <c r="B480" t="s">
        <v>1189</v>
      </c>
      <c r="C480" t="s">
        <v>1274</v>
      </c>
      <c r="D480" t="s">
        <v>1290</v>
      </c>
      <c r="E480">
        <v>2</v>
      </c>
      <c r="F480">
        <v>118</v>
      </c>
      <c r="G480">
        <v>236</v>
      </c>
      <c r="H480" t="s">
        <v>1314</v>
      </c>
    </row>
    <row r="481" spans="1:8" x14ac:dyDescent="0.3">
      <c r="A481" t="s">
        <v>487</v>
      </c>
      <c r="B481" t="s">
        <v>1173</v>
      </c>
      <c r="C481" t="s">
        <v>1282</v>
      </c>
      <c r="D481" t="s">
        <v>1290</v>
      </c>
      <c r="E481">
        <v>10</v>
      </c>
      <c r="F481">
        <v>703</v>
      </c>
      <c r="G481">
        <v>7030</v>
      </c>
      <c r="H481" t="s">
        <v>1314</v>
      </c>
    </row>
    <row r="482" spans="1:8" x14ac:dyDescent="0.3">
      <c r="A482" t="s">
        <v>488</v>
      </c>
      <c r="B482" t="s">
        <v>1190</v>
      </c>
      <c r="C482" t="s">
        <v>1274</v>
      </c>
      <c r="D482" t="s">
        <v>1290</v>
      </c>
      <c r="E482">
        <v>1</v>
      </c>
      <c r="F482">
        <v>426</v>
      </c>
      <c r="G482">
        <v>426</v>
      </c>
      <c r="H482" t="s">
        <v>1313</v>
      </c>
    </row>
    <row r="483" spans="1:8" x14ac:dyDescent="0.3">
      <c r="A483" t="s">
        <v>489</v>
      </c>
      <c r="B483" t="s">
        <v>1191</v>
      </c>
      <c r="C483" t="s">
        <v>1274</v>
      </c>
      <c r="D483" t="s">
        <v>1290</v>
      </c>
      <c r="E483">
        <v>1</v>
      </c>
      <c r="F483">
        <v>158</v>
      </c>
      <c r="G483">
        <v>158</v>
      </c>
      <c r="H483" t="s">
        <v>1315</v>
      </c>
    </row>
    <row r="484" spans="1:8" x14ac:dyDescent="0.3">
      <c r="A484" t="s">
        <v>490</v>
      </c>
      <c r="B484" t="s">
        <v>1192</v>
      </c>
      <c r="C484" t="s">
        <v>1274</v>
      </c>
      <c r="D484" t="s">
        <v>1290</v>
      </c>
      <c r="E484">
        <v>10</v>
      </c>
      <c r="F484">
        <v>341</v>
      </c>
      <c r="G484">
        <v>3410</v>
      </c>
      <c r="H484" t="s">
        <v>1315</v>
      </c>
    </row>
    <row r="485" spans="1:8" x14ac:dyDescent="0.3">
      <c r="A485" t="s">
        <v>491</v>
      </c>
      <c r="B485" t="s">
        <v>918</v>
      </c>
      <c r="C485" t="s">
        <v>1274</v>
      </c>
      <c r="D485" t="s">
        <v>1290</v>
      </c>
      <c r="E485">
        <v>5</v>
      </c>
      <c r="F485">
        <v>161</v>
      </c>
      <c r="G485">
        <v>805</v>
      </c>
      <c r="H485" t="s">
        <v>1313</v>
      </c>
    </row>
    <row r="486" spans="1:8" x14ac:dyDescent="0.3">
      <c r="A486" t="s">
        <v>492</v>
      </c>
      <c r="B486" t="s">
        <v>1193</v>
      </c>
      <c r="C486" t="s">
        <v>1275</v>
      </c>
      <c r="D486" t="s">
        <v>1289</v>
      </c>
      <c r="E486">
        <v>5</v>
      </c>
      <c r="F486">
        <v>296</v>
      </c>
      <c r="G486">
        <v>1480</v>
      </c>
      <c r="H486" t="s">
        <v>1313</v>
      </c>
    </row>
    <row r="487" spans="1:8" x14ac:dyDescent="0.3">
      <c r="A487" t="s">
        <v>493</v>
      </c>
      <c r="B487" t="s">
        <v>1194</v>
      </c>
      <c r="C487" t="s">
        <v>1275</v>
      </c>
      <c r="D487" t="s">
        <v>1289</v>
      </c>
      <c r="E487">
        <v>9</v>
      </c>
      <c r="F487">
        <v>522</v>
      </c>
      <c r="G487">
        <v>4698</v>
      </c>
      <c r="H487" t="s">
        <v>1315</v>
      </c>
    </row>
    <row r="488" spans="1:8" x14ac:dyDescent="0.3">
      <c r="A488" t="s">
        <v>494</v>
      </c>
      <c r="B488" t="s">
        <v>994</v>
      </c>
      <c r="C488" t="s">
        <v>1275</v>
      </c>
      <c r="D488" t="s">
        <v>1289</v>
      </c>
      <c r="E488">
        <v>9</v>
      </c>
      <c r="F488">
        <v>341</v>
      </c>
      <c r="G488">
        <v>3069</v>
      </c>
      <c r="H488" t="s">
        <v>1316</v>
      </c>
    </row>
    <row r="489" spans="1:8" x14ac:dyDescent="0.3">
      <c r="A489" t="s">
        <v>495</v>
      </c>
      <c r="B489" t="s">
        <v>1024</v>
      </c>
      <c r="C489" t="s">
        <v>1275</v>
      </c>
      <c r="D489" t="s">
        <v>1289</v>
      </c>
      <c r="E489">
        <v>3</v>
      </c>
      <c r="F489">
        <v>322</v>
      </c>
      <c r="G489">
        <v>966</v>
      </c>
      <c r="H489" t="s">
        <v>1313</v>
      </c>
    </row>
    <row r="490" spans="1:8" x14ac:dyDescent="0.3">
      <c r="A490" t="s">
        <v>496</v>
      </c>
      <c r="B490" t="s">
        <v>1172</v>
      </c>
      <c r="C490" t="s">
        <v>1282</v>
      </c>
      <c r="D490" t="s">
        <v>1290</v>
      </c>
      <c r="E490">
        <v>4</v>
      </c>
      <c r="F490">
        <v>884</v>
      </c>
      <c r="G490">
        <v>3536</v>
      </c>
      <c r="H490" t="s">
        <v>1315</v>
      </c>
    </row>
    <row r="491" spans="1:8" x14ac:dyDescent="0.3">
      <c r="A491" t="s">
        <v>497</v>
      </c>
      <c r="B491" t="s">
        <v>1086</v>
      </c>
      <c r="C491" t="s">
        <v>1279</v>
      </c>
      <c r="D491" t="s">
        <v>1289</v>
      </c>
      <c r="E491">
        <v>8</v>
      </c>
      <c r="F491">
        <v>74</v>
      </c>
      <c r="G491">
        <v>592</v>
      </c>
      <c r="H491" t="s">
        <v>1316</v>
      </c>
    </row>
    <row r="492" spans="1:8" x14ac:dyDescent="0.3">
      <c r="A492" t="s">
        <v>498</v>
      </c>
      <c r="B492" t="s">
        <v>1195</v>
      </c>
      <c r="C492" t="s">
        <v>1275</v>
      </c>
      <c r="D492" t="s">
        <v>1289</v>
      </c>
      <c r="E492">
        <v>9</v>
      </c>
      <c r="F492">
        <v>557</v>
      </c>
      <c r="G492">
        <v>5013</v>
      </c>
      <c r="H492" t="s">
        <v>1316</v>
      </c>
    </row>
    <row r="493" spans="1:8" x14ac:dyDescent="0.3">
      <c r="A493" t="s">
        <v>499</v>
      </c>
      <c r="B493" t="s">
        <v>945</v>
      </c>
      <c r="C493" t="s">
        <v>1274</v>
      </c>
      <c r="D493" t="s">
        <v>1290</v>
      </c>
      <c r="E493">
        <v>5</v>
      </c>
      <c r="F493">
        <v>223</v>
      </c>
      <c r="G493">
        <v>1115</v>
      </c>
      <c r="H493" t="s">
        <v>1314</v>
      </c>
    </row>
    <row r="494" spans="1:8" x14ac:dyDescent="0.3">
      <c r="A494" t="s">
        <v>500</v>
      </c>
      <c r="B494" t="s">
        <v>1038</v>
      </c>
      <c r="C494" t="s">
        <v>1282</v>
      </c>
      <c r="D494" t="s">
        <v>1290</v>
      </c>
      <c r="E494">
        <v>6</v>
      </c>
      <c r="F494">
        <v>109</v>
      </c>
      <c r="G494">
        <v>654</v>
      </c>
      <c r="H494" t="s">
        <v>1313</v>
      </c>
    </row>
    <row r="495" spans="1:8" x14ac:dyDescent="0.3">
      <c r="A495" t="s">
        <v>501</v>
      </c>
      <c r="B495" t="s">
        <v>1085</v>
      </c>
      <c r="C495" t="s">
        <v>1276</v>
      </c>
      <c r="D495" t="s">
        <v>1290</v>
      </c>
      <c r="E495">
        <v>5</v>
      </c>
      <c r="F495">
        <v>401</v>
      </c>
      <c r="G495">
        <v>2005</v>
      </c>
      <c r="H495" t="s">
        <v>1314</v>
      </c>
    </row>
    <row r="496" spans="1:8" x14ac:dyDescent="0.3">
      <c r="A496" t="s">
        <v>502</v>
      </c>
      <c r="B496" t="s">
        <v>1075</v>
      </c>
      <c r="C496" t="s">
        <v>1273</v>
      </c>
      <c r="D496" t="s">
        <v>1289</v>
      </c>
      <c r="E496">
        <v>4</v>
      </c>
      <c r="F496">
        <v>838</v>
      </c>
      <c r="G496">
        <v>3352</v>
      </c>
      <c r="H496" t="s">
        <v>1313</v>
      </c>
    </row>
    <row r="497" spans="1:8" x14ac:dyDescent="0.3">
      <c r="A497" t="s">
        <v>503</v>
      </c>
      <c r="B497" t="s">
        <v>1110</v>
      </c>
      <c r="C497" t="s">
        <v>1282</v>
      </c>
      <c r="D497" t="s">
        <v>1290</v>
      </c>
      <c r="E497">
        <v>4</v>
      </c>
      <c r="F497">
        <v>355</v>
      </c>
      <c r="G497">
        <v>1420</v>
      </c>
      <c r="H497" t="s">
        <v>1314</v>
      </c>
    </row>
    <row r="498" spans="1:8" x14ac:dyDescent="0.3">
      <c r="A498" t="s">
        <v>504</v>
      </c>
      <c r="B498" t="s">
        <v>1196</v>
      </c>
      <c r="C498" t="s">
        <v>1274</v>
      </c>
      <c r="D498" t="s">
        <v>1290</v>
      </c>
      <c r="E498">
        <v>4</v>
      </c>
      <c r="F498">
        <v>774</v>
      </c>
      <c r="G498">
        <v>3096</v>
      </c>
      <c r="H498" t="s">
        <v>1316</v>
      </c>
    </row>
    <row r="499" spans="1:8" x14ac:dyDescent="0.3">
      <c r="A499" t="s">
        <v>505</v>
      </c>
      <c r="B499" t="s">
        <v>1171</v>
      </c>
      <c r="C499" t="s">
        <v>1274</v>
      </c>
      <c r="D499" t="s">
        <v>1290</v>
      </c>
      <c r="E499">
        <v>10</v>
      </c>
      <c r="F499">
        <v>735</v>
      </c>
      <c r="G499">
        <v>7350</v>
      </c>
      <c r="H499" t="s">
        <v>1318</v>
      </c>
    </row>
    <row r="500" spans="1:8" x14ac:dyDescent="0.3">
      <c r="A500" t="s">
        <v>506</v>
      </c>
      <c r="B500" t="s">
        <v>1163</v>
      </c>
      <c r="C500" t="s">
        <v>1283</v>
      </c>
      <c r="D500" t="s">
        <v>1290</v>
      </c>
      <c r="E500">
        <v>9</v>
      </c>
      <c r="F500" t="s">
        <v>1306</v>
      </c>
      <c r="G500">
        <v>3096</v>
      </c>
      <c r="H500" t="s">
        <v>1316</v>
      </c>
    </row>
    <row r="501" spans="1:8" x14ac:dyDescent="0.3">
      <c r="A501" t="s">
        <v>507</v>
      </c>
      <c r="B501" t="s">
        <v>915</v>
      </c>
      <c r="C501" t="s">
        <v>1282</v>
      </c>
      <c r="D501" t="s">
        <v>1290</v>
      </c>
      <c r="E501">
        <v>9</v>
      </c>
      <c r="F501">
        <v>679</v>
      </c>
      <c r="G501">
        <v>6111</v>
      </c>
      <c r="H501" t="s">
        <v>1315</v>
      </c>
    </row>
    <row r="502" spans="1:8" x14ac:dyDescent="0.3">
      <c r="A502" t="s">
        <v>508</v>
      </c>
      <c r="B502" t="s">
        <v>1197</v>
      </c>
      <c r="C502" t="s">
        <v>1277</v>
      </c>
      <c r="D502" t="s">
        <v>1289</v>
      </c>
      <c r="E502">
        <v>6</v>
      </c>
      <c r="F502">
        <v>540</v>
      </c>
      <c r="G502">
        <v>3240</v>
      </c>
      <c r="H502" t="s">
        <v>1316</v>
      </c>
    </row>
    <row r="503" spans="1:8" x14ac:dyDescent="0.3">
      <c r="A503" t="s">
        <v>509</v>
      </c>
      <c r="B503" t="s">
        <v>1198</v>
      </c>
      <c r="C503" t="s">
        <v>1273</v>
      </c>
      <c r="D503" t="s">
        <v>1289</v>
      </c>
      <c r="E503">
        <v>8</v>
      </c>
      <c r="F503">
        <v>794</v>
      </c>
      <c r="G503">
        <v>6352</v>
      </c>
      <c r="H503" t="s">
        <v>1313</v>
      </c>
    </row>
    <row r="504" spans="1:8" x14ac:dyDescent="0.3">
      <c r="A504" t="s">
        <v>510</v>
      </c>
      <c r="B504" t="s">
        <v>1088</v>
      </c>
      <c r="C504" t="s">
        <v>1280</v>
      </c>
      <c r="D504" t="s">
        <v>1290</v>
      </c>
      <c r="E504">
        <v>6</v>
      </c>
      <c r="F504">
        <v>438</v>
      </c>
      <c r="G504">
        <v>2628</v>
      </c>
      <c r="H504" t="s">
        <v>1313</v>
      </c>
    </row>
    <row r="505" spans="1:8" x14ac:dyDescent="0.3">
      <c r="A505" t="s">
        <v>511</v>
      </c>
      <c r="B505" t="s">
        <v>1199</v>
      </c>
      <c r="C505" t="s">
        <v>1279</v>
      </c>
      <c r="D505" t="s">
        <v>1289</v>
      </c>
      <c r="E505">
        <v>1</v>
      </c>
      <c r="F505">
        <v>282</v>
      </c>
      <c r="G505">
        <v>282</v>
      </c>
      <c r="H505" t="s">
        <v>1316</v>
      </c>
    </row>
    <row r="506" spans="1:8" x14ac:dyDescent="0.3">
      <c r="A506" t="s">
        <v>512</v>
      </c>
      <c r="B506" t="s">
        <v>1068</v>
      </c>
      <c r="C506" t="s">
        <v>1277</v>
      </c>
      <c r="D506" t="s">
        <v>1289</v>
      </c>
      <c r="E506">
        <v>3</v>
      </c>
      <c r="F506">
        <v>215</v>
      </c>
      <c r="G506">
        <v>645</v>
      </c>
      <c r="H506" t="s">
        <v>1313</v>
      </c>
    </row>
    <row r="507" spans="1:8" x14ac:dyDescent="0.3">
      <c r="A507" t="s">
        <v>513</v>
      </c>
      <c r="B507" t="s">
        <v>1158</v>
      </c>
      <c r="C507" t="s">
        <v>1275</v>
      </c>
      <c r="D507" t="s">
        <v>1289</v>
      </c>
      <c r="E507">
        <v>10</v>
      </c>
      <c r="F507">
        <v>868</v>
      </c>
      <c r="G507">
        <v>8680</v>
      </c>
      <c r="H507" t="s">
        <v>1316</v>
      </c>
    </row>
    <row r="508" spans="1:8" x14ac:dyDescent="0.3">
      <c r="A508" t="s">
        <v>514</v>
      </c>
      <c r="B508" t="s">
        <v>1200</v>
      </c>
      <c r="C508" t="s">
        <v>1280</v>
      </c>
      <c r="D508" t="s">
        <v>1290</v>
      </c>
      <c r="E508">
        <v>5</v>
      </c>
      <c r="F508">
        <v>796</v>
      </c>
      <c r="G508">
        <v>3980</v>
      </c>
      <c r="H508" t="s">
        <v>1316</v>
      </c>
    </row>
    <row r="509" spans="1:8" x14ac:dyDescent="0.3">
      <c r="A509" t="s">
        <v>515</v>
      </c>
      <c r="B509" t="s">
        <v>1009</v>
      </c>
      <c r="C509" t="s">
        <v>1282</v>
      </c>
      <c r="D509" t="s">
        <v>1290</v>
      </c>
      <c r="E509">
        <v>3</v>
      </c>
      <c r="F509">
        <v>765</v>
      </c>
      <c r="G509">
        <v>2295</v>
      </c>
      <c r="H509" t="s">
        <v>1313</v>
      </c>
    </row>
    <row r="510" spans="1:8" x14ac:dyDescent="0.3">
      <c r="A510" t="s">
        <v>516</v>
      </c>
      <c r="B510" t="s">
        <v>1201</v>
      </c>
      <c r="C510" t="s">
        <v>1279</v>
      </c>
      <c r="D510" t="s">
        <v>1289</v>
      </c>
      <c r="E510">
        <v>9</v>
      </c>
      <c r="F510">
        <v>515</v>
      </c>
      <c r="G510">
        <v>4635</v>
      </c>
      <c r="H510" t="s">
        <v>1314</v>
      </c>
    </row>
    <row r="511" spans="1:8" x14ac:dyDescent="0.3">
      <c r="A511" t="s">
        <v>517</v>
      </c>
      <c r="B511" t="s">
        <v>1012</v>
      </c>
      <c r="C511" t="s">
        <v>1276</v>
      </c>
      <c r="D511" t="s">
        <v>1290</v>
      </c>
      <c r="E511">
        <v>2</v>
      </c>
      <c r="F511">
        <v>852</v>
      </c>
      <c r="G511">
        <v>1704</v>
      </c>
      <c r="H511" t="s">
        <v>1314</v>
      </c>
    </row>
    <row r="512" spans="1:8" x14ac:dyDescent="0.3">
      <c r="A512" t="s">
        <v>518</v>
      </c>
      <c r="B512" t="s">
        <v>1058</v>
      </c>
      <c r="C512" t="s">
        <v>1276</v>
      </c>
      <c r="D512" t="s">
        <v>1290</v>
      </c>
      <c r="E512">
        <v>7</v>
      </c>
      <c r="F512">
        <v>155</v>
      </c>
      <c r="G512">
        <v>1085</v>
      </c>
      <c r="H512" t="s">
        <v>1313</v>
      </c>
    </row>
    <row r="513" spans="1:8" x14ac:dyDescent="0.3">
      <c r="A513" t="s">
        <v>519</v>
      </c>
      <c r="B513" t="s">
        <v>1182</v>
      </c>
      <c r="C513" t="s">
        <v>1273</v>
      </c>
      <c r="D513" t="s">
        <v>1289</v>
      </c>
      <c r="E513">
        <v>3</v>
      </c>
      <c r="F513">
        <v>24</v>
      </c>
      <c r="G513">
        <v>72</v>
      </c>
      <c r="H513" t="s">
        <v>1316</v>
      </c>
    </row>
    <row r="514" spans="1:8" x14ac:dyDescent="0.3">
      <c r="A514" t="s">
        <v>520</v>
      </c>
      <c r="B514" t="s">
        <v>1004</v>
      </c>
      <c r="C514" t="s">
        <v>1280</v>
      </c>
      <c r="D514" t="s">
        <v>1290</v>
      </c>
      <c r="E514">
        <v>1</v>
      </c>
      <c r="F514">
        <v>647</v>
      </c>
      <c r="G514">
        <v>647</v>
      </c>
      <c r="H514" t="s">
        <v>1316</v>
      </c>
    </row>
    <row r="515" spans="1:8" x14ac:dyDescent="0.3">
      <c r="A515" t="s">
        <v>521</v>
      </c>
      <c r="B515" t="s">
        <v>1187</v>
      </c>
      <c r="C515" t="s">
        <v>1282</v>
      </c>
      <c r="D515" t="s">
        <v>1290</v>
      </c>
      <c r="E515">
        <v>1</v>
      </c>
      <c r="F515">
        <v>21</v>
      </c>
      <c r="G515">
        <v>21</v>
      </c>
      <c r="H515" t="s">
        <v>1316</v>
      </c>
    </row>
    <row r="516" spans="1:8" x14ac:dyDescent="0.3">
      <c r="A516" t="s">
        <v>522</v>
      </c>
      <c r="B516" t="s">
        <v>908</v>
      </c>
      <c r="C516" t="s">
        <v>1276</v>
      </c>
      <c r="D516" t="s">
        <v>1292</v>
      </c>
      <c r="E516">
        <v>1</v>
      </c>
      <c r="F516">
        <v>557</v>
      </c>
      <c r="G516">
        <v>557</v>
      </c>
      <c r="H516" t="s">
        <v>1315</v>
      </c>
    </row>
    <row r="517" spans="1:8" x14ac:dyDescent="0.3">
      <c r="A517" t="s">
        <v>523</v>
      </c>
      <c r="B517" t="s">
        <v>1063</v>
      </c>
      <c r="C517" t="s">
        <v>1276</v>
      </c>
      <c r="D517" t="s">
        <v>1290</v>
      </c>
      <c r="E517">
        <v>9</v>
      </c>
      <c r="F517">
        <v>847</v>
      </c>
      <c r="G517">
        <v>7623</v>
      </c>
      <c r="H517" t="s">
        <v>1316</v>
      </c>
    </row>
    <row r="518" spans="1:8" x14ac:dyDescent="0.3">
      <c r="A518" t="s">
        <v>524</v>
      </c>
      <c r="B518" t="s">
        <v>1106</v>
      </c>
      <c r="C518" t="s">
        <v>1279</v>
      </c>
      <c r="D518" t="s">
        <v>1289</v>
      </c>
      <c r="E518">
        <v>2</v>
      </c>
      <c r="F518">
        <v>113</v>
      </c>
      <c r="G518">
        <v>226</v>
      </c>
      <c r="H518" t="s">
        <v>1313</v>
      </c>
    </row>
    <row r="519" spans="1:8" x14ac:dyDescent="0.3">
      <c r="A519" t="s">
        <v>525</v>
      </c>
      <c r="B519" t="s">
        <v>1066</v>
      </c>
      <c r="C519" t="s">
        <v>1274</v>
      </c>
      <c r="D519" t="s">
        <v>1290</v>
      </c>
      <c r="E519">
        <v>4</v>
      </c>
      <c r="F519">
        <v>649</v>
      </c>
      <c r="G519">
        <v>2596</v>
      </c>
      <c r="H519" t="s">
        <v>1315</v>
      </c>
    </row>
    <row r="520" spans="1:8" x14ac:dyDescent="0.3">
      <c r="A520" t="s">
        <v>526</v>
      </c>
      <c r="B520" t="s">
        <v>1138</v>
      </c>
      <c r="C520" t="s">
        <v>1280</v>
      </c>
      <c r="D520" t="s">
        <v>1290</v>
      </c>
      <c r="E520">
        <v>5</v>
      </c>
      <c r="F520">
        <v>829</v>
      </c>
      <c r="G520">
        <v>4145</v>
      </c>
      <c r="H520" t="s">
        <v>1314</v>
      </c>
    </row>
    <row r="521" spans="1:8" x14ac:dyDescent="0.3">
      <c r="A521" t="s">
        <v>527</v>
      </c>
      <c r="B521" t="s">
        <v>1202</v>
      </c>
      <c r="C521" t="s">
        <v>1280</v>
      </c>
      <c r="D521" t="s">
        <v>1290</v>
      </c>
      <c r="E521">
        <v>7</v>
      </c>
      <c r="F521">
        <v>485</v>
      </c>
      <c r="G521">
        <v>3395</v>
      </c>
      <c r="H521" t="s">
        <v>1313</v>
      </c>
    </row>
    <row r="522" spans="1:8" x14ac:dyDescent="0.3">
      <c r="A522" t="s">
        <v>528</v>
      </c>
      <c r="B522" t="s">
        <v>959</v>
      </c>
      <c r="C522" t="s">
        <v>1283</v>
      </c>
      <c r="D522" t="s">
        <v>1290</v>
      </c>
      <c r="E522">
        <v>5</v>
      </c>
      <c r="F522">
        <v>715</v>
      </c>
      <c r="G522">
        <v>3575</v>
      </c>
      <c r="H522" t="s">
        <v>1314</v>
      </c>
    </row>
    <row r="523" spans="1:8" x14ac:dyDescent="0.3">
      <c r="A523" t="s">
        <v>529</v>
      </c>
      <c r="B523" t="s">
        <v>1184</v>
      </c>
      <c r="C523" t="s">
        <v>1273</v>
      </c>
      <c r="D523" t="s">
        <v>1289</v>
      </c>
      <c r="E523">
        <v>7</v>
      </c>
      <c r="F523">
        <v>403</v>
      </c>
      <c r="G523">
        <v>2821</v>
      </c>
      <c r="H523" t="s">
        <v>1316</v>
      </c>
    </row>
    <row r="524" spans="1:8" x14ac:dyDescent="0.3">
      <c r="A524" t="s">
        <v>530</v>
      </c>
      <c r="B524" t="s">
        <v>922</v>
      </c>
      <c r="C524" t="s">
        <v>1276</v>
      </c>
      <c r="D524" t="s">
        <v>1290</v>
      </c>
      <c r="E524">
        <v>1</v>
      </c>
      <c r="F524">
        <v>734</v>
      </c>
      <c r="G524">
        <v>734</v>
      </c>
      <c r="H524" t="s">
        <v>1314</v>
      </c>
    </row>
    <row r="525" spans="1:8" x14ac:dyDescent="0.3">
      <c r="A525" t="s">
        <v>531</v>
      </c>
      <c r="B525" t="s">
        <v>945</v>
      </c>
      <c r="C525" t="s">
        <v>1282</v>
      </c>
      <c r="D525" t="s">
        <v>1290</v>
      </c>
      <c r="E525">
        <v>7</v>
      </c>
      <c r="F525">
        <v>675</v>
      </c>
      <c r="G525">
        <v>4725</v>
      </c>
      <c r="H525" t="s">
        <v>1314</v>
      </c>
    </row>
    <row r="526" spans="1:8" x14ac:dyDescent="0.3">
      <c r="A526" t="s">
        <v>532</v>
      </c>
      <c r="B526" t="s">
        <v>1121</v>
      </c>
      <c r="C526" t="s">
        <v>1276</v>
      </c>
      <c r="D526" t="s">
        <v>1290</v>
      </c>
      <c r="E526">
        <v>4</v>
      </c>
      <c r="F526">
        <v>231</v>
      </c>
      <c r="H526" t="s">
        <v>1316</v>
      </c>
    </row>
    <row r="527" spans="1:8" x14ac:dyDescent="0.3">
      <c r="A527" t="s">
        <v>533</v>
      </c>
      <c r="B527" t="s">
        <v>1025</v>
      </c>
      <c r="C527" t="s">
        <v>1277</v>
      </c>
      <c r="D527" t="s">
        <v>1289</v>
      </c>
      <c r="E527">
        <v>1</v>
      </c>
      <c r="F527">
        <v>91</v>
      </c>
      <c r="G527">
        <v>91</v>
      </c>
      <c r="H527" t="s">
        <v>1315</v>
      </c>
    </row>
    <row r="528" spans="1:8" x14ac:dyDescent="0.3">
      <c r="A528" t="s">
        <v>534</v>
      </c>
      <c r="B528" t="s">
        <v>1056</v>
      </c>
      <c r="C528" t="s">
        <v>1285</v>
      </c>
      <c r="D528" t="s">
        <v>1290</v>
      </c>
      <c r="E528">
        <v>3</v>
      </c>
      <c r="F528">
        <v>885</v>
      </c>
      <c r="G528">
        <v>2655</v>
      </c>
      <c r="H528" t="s">
        <v>1314</v>
      </c>
    </row>
    <row r="529" spans="1:8" x14ac:dyDescent="0.3">
      <c r="A529" t="s">
        <v>535</v>
      </c>
      <c r="B529" t="s">
        <v>1036</v>
      </c>
      <c r="C529" t="s">
        <v>1274</v>
      </c>
      <c r="D529" t="s">
        <v>1290</v>
      </c>
      <c r="E529">
        <v>10</v>
      </c>
      <c r="F529">
        <v>162</v>
      </c>
      <c r="G529">
        <v>1620</v>
      </c>
      <c r="H529" t="s">
        <v>1316</v>
      </c>
    </row>
    <row r="530" spans="1:8" x14ac:dyDescent="0.3">
      <c r="A530" t="s">
        <v>536</v>
      </c>
      <c r="B530" t="s">
        <v>1044</v>
      </c>
      <c r="C530" t="s">
        <v>1273</v>
      </c>
      <c r="D530" t="s">
        <v>1289</v>
      </c>
      <c r="E530">
        <v>5</v>
      </c>
      <c r="F530">
        <v>181</v>
      </c>
      <c r="G530">
        <v>905</v>
      </c>
      <c r="H530" t="s">
        <v>1313</v>
      </c>
    </row>
    <row r="531" spans="1:8" x14ac:dyDescent="0.3">
      <c r="A531" t="s">
        <v>537</v>
      </c>
      <c r="B531" t="s">
        <v>1178</v>
      </c>
      <c r="C531" t="s">
        <v>1284</v>
      </c>
      <c r="D531" t="s">
        <v>1289</v>
      </c>
      <c r="E531">
        <v>9</v>
      </c>
      <c r="F531">
        <v>354</v>
      </c>
      <c r="G531">
        <v>3186</v>
      </c>
      <c r="H531" t="s">
        <v>1313</v>
      </c>
    </row>
    <row r="532" spans="1:8" x14ac:dyDescent="0.3">
      <c r="A532" t="s">
        <v>538</v>
      </c>
      <c r="B532" t="s">
        <v>1188</v>
      </c>
      <c r="C532" t="s">
        <v>1273</v>
      </c>
      <c r="D532" t="s">
        <v>1289</v>
      </c>
      <c r="E532">
        <v>9</v>
      </c>
      <c r="F532">
        <v>778</v>
      </c>
      <c r="G532">
        <v>7002</v>
      </c>
      <c r="H532" t="s">
        <v>1314</v>
      </c>
    </row>
    <row r="533" spans="1:8" x14ac:dyDescent="0.3">
      <c r="A533" t="s">
        <v>539</v>
      </c>
      <c r="B533" t="s">
        <v>1203</v>
      </c>
      <c r="C533" t="s">
        <v>1273</v>
      </c>
      <c r="D533" t="s">
        <v>1289</v>
      </c>
      <c r="E533">
        <v>7</v>
      </c>
      <c r="F533">
        <v>252</v>
      </c>
      <c r="G533">
        <v>1764</v>
      </c>
      <c r="H533" t="s">
        <v>1315</v>
      </c>
    </row>
    <row r="534" spans="1:8" x14ac:dyDescent="0.3">
      <c r="A534" t="s">
        <v>540</v>
      </c>
      <c r="B534" t="s">
        <v>1098</v>
      </c>
      <c r="C534" t="s">
        <v>1275</v>
      </c>
      <c r="D534" t="s">
        <v>1289</v>
      </c>
      <c r="E534">
        <v>6</v>
      </c>
      <c r="F534">
        <v>45</v>
      </c>
      <c r="G534">
        <v>270</v>
      </c>
      <c r="H534" t="s">
        <v>1315</v>
      </c>
    </row>
    <row r="535" spans="1:8" x14ac:dyDescent="0.3">
      <c r="A535" t="s">
        <v>541</v>
      </c>
      <c r="B535" t="s">
        <v>1204</v>
      </c>
      <c r="C535" t="s">
        <v>1282</v>
      </c>
      <c r="D535" t="s">
        <v>1290</v>
      </c>
      <c r="E535">
        <v>8</v>
      </c>
      <c r="F535">
        <v>248</v>
      </c>
      <c r="G535">
        <v>1984</v>
      </c>
      <c r="H535" t="s">
        <v>1316</v>
      </c>
    </row>
    <row r="536" spans="1:8" x14ac:dyDescent="0.3">
      <c r="A536" t="s">
        <v>542</v>
      </c>
      <c r="B536" t="s">
        <v>958</v>
      </c>
      <c r="C536" t="s">
        <v>1275</v>
      </c>
      <c r="D536" t="s">
        <v>1289</v>
      </c>
      <c r="E536">
        <v>3</v>
      </c>
      <c r="F536">
        <v>711</v>
      </c>
      <c r="G536">
        <v>2133</v>
      </c>
      <c r="H536" t="s">
        <v>1316</v>
      </c>
    </row>
    <row r="537" spans="1:8" x14ac:dyDescent="0.3">
      <c r="A537" t="s">
        <v>543</v>
      </c>
      <c r="B537" t="s">
        <v>927</v>
      </c>
      <c r="C537" t="s">
        <v>1273</v>
      </c>
      <c r="D537" t="s">
        <v>1289</v>
      </c>
      <c r="E537">
        <v>10</v>
      </c>
      <c r="F537">
        <v>317</v>
      </c>
      <c r="G537">
        <v>3170</v>
      </c>
      <c r="H537" t="s">
        <v>1314</v>
      </c>
    </row>
    <row r="538" spans="1:8" x14ac:dyDescent="0.3">
      <c r="A538" t="s">
        <v>544</v>
      </c>
      <c r="B538" t="s">
        <v>1017</v>
      </c>
      <c r="C538" t="s">
        <v>1273</v>
      </c>
      <c r="D538" t="s">
        <v>1289</v>
      </c>
      <c r="E538">
        <v>5</v>
      </c>
      <c r="F538">
        <v>172</v>
      </c>
      <c r="G538">
        <v>860</v>
      </c>
      <c r="H538" t="s">
        <v>1313</v>
      </c>
    </row>
    <row r="539" spans="1:8" x14ac:dyDescent="0.3">
      <c r="A539" t="s">
        <v>545</v>
      </c>
      <c r="B539" t="s">
        <v>1105</v>
      </c>
      <c r="C539" t="s">
        <v>1275</v>
      </c>
      <c r="D539" t="s">
        <v>1289</v>
      </c>
      <c r="E539">
        <v>6</v>
      </c>
      <c r="F539">
        <v>384</v>
      </c>
      <c r="G539">
        <v>2304</v>
      </c>
      <c r="H539" t="s">
        <v>1314</v>
      </c>
    </row>
    <row r="540" spans="1:8" x14ac:dyDescent="0.3">
      <c r="A540" t="s">
        <v>546</v>
      </c>
      <c r="B540" t="s">
        <v>1205</v>
      </c>
      <c r="C540" t="s">
        <v>1276</v>
      </c>
      <c r="D540" t="s">
        <v>1290</v>
      </c>
      <c r="E540">
        <v>5</v>
      </c>
      <c r="F540">
        <v>470</v>
      </c>
      <c r="G540">
        <v>2350</v>
      </c>
      <c r="H540" t="s">
        <v>1315</v>
      </c>
    </row>
    <row r="541" spans="1:8" x14ac:dyDescent="0.3">
      <c r="A541" t="s">
        <v>547</v>
      </c>
      <c r="B541" t="s">
        <v>1206</v>
      </c>
      <c r="C541" t="s">
        <v>1273</v>
      </c>
      <c r="D541" t="s">
        <v>1289</v>
      </c>
      <c r="E541">
        <v>3</v>
      </c>
      <c r="F541">
        <v>104</v>
      </c>
      <c r="G541">
        <v>312</v>
      </c>
      <c r="H541" t="s">
        <v>1316</v>
      </c>
    </row>
    <row r="542" spans="1:8" x14ac:dyDescent="0.3">
      <c r="A542" t="s">
        <v>548</v>
      </c>
      <c r="B542" t="s">
        <v>1145</v>
      </c>
      <c r="C542" t="s">
        <v>1282</v>
      </c>
      <c r="D542" t="s">
        <v>1290</v>
      </c>
      <c r="E542">
        <v>9</v>
      </c>
      <c r="F542">
        <v>583</v>
      </c>
      <c r="G542">
        <v>5247</v>
      </c>
      <c r="H542" t="s">
        <v>1316</v>
      </c>
    </row>
    <row r="543" spans="1:8" x14ac:dyDescent="0.3">
      <c r="A543" t="s">
        <v>549</v>
      </c>
      <c r="B543" t="s">
        <v>1207</v>
      </c>
      <c r="C543" t="s">
        <v>1273</v>
      </c>
      <c r="D543" t="s">
        <v>1289</v>
      </c>
      <c r="E543">
        <v>1</v>
      </c>
      <c r="F543">
        <v>106</v>
      </c>
      <c r="G543">
        <v>106</v>
      </c>
      <c r="H543" t="s">
        <v>1314</v>
      </c>
    </row>
    <row r="544" spans="1:8" x14ac:dyDescent="0.3">
      <c r="A544" t="s">
        <v>550</v>
      </c>
      <c r="B544" t="s">
        <v>1059</v>
      </c>
      <c r="C544" t="s">
        <v>1280</v>
      </c>
      <c r="D544" t="s">
        <v>1290</v>
      </c>
      <c r="E544">
        <v>7</v>
      </c>
      <c r="F544">
        <v>27</v>
      </c>
      <c r="G544">
        <v>189</v>
      </c>
      <c r="H544" t="s">
        <v>1316</v>
      </c>
    </row>
    <row r="545" spans="1:8" x14ac:dyDescent="0.3">
      <c r="A545" t="s">
        <v>551</v>
      </c>
      <c r="B545" t="s">
        <v>978</v>
      </c>
      <c r="C545" t="s">
        <v>1275</v>
      </c>
      <c r="D545" t="s">
        <v>1289</v>
      </c>
      <c r="E545">
        <v>2</v>
      </c>
      <c r="F545">
        <v>757</v>
      </c>
      <c r="G545">
        <v>1514</v>
      </c>
      <c r="H545" t="s">
        <v>1313</v>
      </c>
    </row>
    <row r="546" spans="1:8" x14ac:dyDescent="0.3">
      <c r="A546" t="s">
        <v>552</v>
      </c>
      <c r="B546" t="s">
        <v>1208</v>
      </c>
      <c r="C546" t="s">
        <v>1279</v>
      </c>
      <c r="D546" t="s">
        <v>1289</v>
      </c>
      <c r="E546">
        <v>7</v>
      </c>
      <c r="F546">
        <v>188</v>
      </c>
      <c r="G546">
        <v>1316</v>
      </c>
      <c r="H546" t="s">
        <v>1315</v>
      </c>
    </row>
    <row r="547" spans="1:8" x14ac:dyDescent="0.3">
      <c r="A547" t="s">
        <v>553</v>
      </c>
      <c r="B547" t="s">
        <v>1072</v>
      </c>
      <c r="C547" t="s">
        <v>1277</v>
      </c>
      <c r="D547" t="s">
        <v>1289</v>
      </c>
      <c r="E547">
        <v>5</v>
      </c>
      <c r="F547">
        <v>519</v>
      </c>
      <c r="G547">
        <v>2595</v>
      </c>
      <c r="H547" t="s">
        <v>1314</v>
      </c>
    </row>
    <row r="548" spans="1:8" x14ac:dyDescent="0.3">
      <c r="A548" t="s">
        <v>554</v>
      </c>
      <c r="B548" t="s">
        <v>1209</v>
      </c>
      <c r="C548" t="s">
        <v>1287</v>
      </c>
      <c r="D548" t="s">
        <v>1289</v>
      </c>
      <c r="E548">
        <v>7</v>
      </c>
      <c r="F548">
        <v>297</v>
      </c>
      <c r="G548">
        <v>2079</v>
      </c>
      <c r="H548" t="s">
        <v>1315</v>
      </c>
    </row>
    <row r="549" spans="1:8" x14ac:dyDescent="0.3">
      <c r="A549" t="s">
        <v>555</v>
      </c>
      <c r="B549" t="s">
        <v>1080</v>
      </c>
      <c r="C549" t="s">
        <v>1282</v>
      </c>
      <c r="D549" t="s">
        <v>1292</v>
      </c>
      <c r="E549">
        <v>2</v>
      </c>
      <c r="F549">
        <v>384</v>
      </c>
      <c r="G549">
        <v>768</v>
      </c>
      <c r="H549" t="s">
        <v>1313</v>
      </c>
    </row>
    <row r="550" spans="1:8" x14ac:dyDescent="0.3">
      <c r="A550" t="s">
        <v>556</v>
      </c>
      <c r="B550" t="s">
        <v>1210</v>
      </c>
      <c r="C550" t="s">
        <v>1282</v>
      </c>
      <c r="D550" t="s">
        <v>1290</v>
      </c>
      <c r="E550">
        <v>10</v>
      </c>
      <c r="F550">
        <v>646</v>
      </c>
      <c r="G550">
        <v>6460</v>
      </c>
      <c r="H550" t="s">
        <v>1316</v>
      </c>
    </row>
    <row r="551" spans="1:8" x14ac:dyDescent="0.3">
      <c r="A551" t="s">
        <v>557</v>
      </c>
      <c r="B551" t="s">
        <v>1211</v>
      </c>
      <c r="C551" t="s">
        <v>1273</v>
      </c>
      <c r="D551" t="s">
        <v>1289</v>
      </c>
      <c r="E551">
        <v>3</v>
      </c>
      <c r="F551">
        <v>326</v>
      </c>
      <c r="G551">
        <v>978</v>
      </c>
      <c r="H551" t="s">
        <v>1316</v>
      </c>
    </row>
    <row r="552" spans="1:8" x14ac:dyDescent="0.3">
      <c r="A552" t="s">
        <v>558</v>
      </c>
      <c r="B552" t="s">
        <v>1068</v>
      </c>
      <c r="C552" t="s">
        <v>1288</v>
      </c>
      <c r="D552" t="s">
        <v>1290</v>
      </c>
      <c r="E552">
        <v>10</v>
      </c>
      <c r="F552">
        <v>404</v>
      </c>
      <c r="H552" t="s">
        <v>1316</v>
      </c>
    </row>
    <row r="553" spans="1:8" x14ac:dyDescent="0.3">
      <c r="A553" t="s">
        <v>559</v>
      </c>
      <c r="B553" t="s">
        <v>1156</v>
      </c>
      <c r="C553" t="s">
        <v>1280</v>
      </c>
      <c r="D553" t="s">
        <v>1290</v>
      </c>
      <c r="E553">
        <v>7</v>
      </c>
      <c r="F553">
        <v>850</v>
      </c>
      <c r="G553">
        <v>5950</v>
      </c>
      <c r="H553" t="s">
        <v>1313</v>
      </c>
    </row>
    <row r="554" spans="1:8" x14ac:dyDescent="0.3">
      <c r="A554" t="s">
        <v>560</v>
      </c>
      <c r="B554" t="s">
        <v>1212</v>
      </c>
      <c r="C554" t="s">
        <v>1277</v>
      </c>
      <c r="D554" t="s">
        <v>1289</v>
      </c>
      <c r="E554">
        <v>6</v>
      </c>
      <c r="F554">
        <v>632</v>
      </c>
      <c r="G554">
        <v>3792</v>
      </c>
      <c r="H554" t="s">
        <v>1313</v>
      </c>
    </row>
    <row r="555" spans="1:8" x14ac:dyDescent="0.3">
      <c r="A555" t="s">
        <v>561</v>
      </c>
      <c r="B555" t="s">
        <v>1138</v>
      </c>
      <c r="C555" t="s">
        <v>1286</v>
      </c>
      <c r="D555" t="s">
        <v>1290</v>
      </c>
      <c r="E555">
        <v>6</v>
      </c>
      <c r="F555">
        <v>196</v>
      </c>
      <c r="G555">
        <v>1176</v>
      </c>
      <c r="H555" t="s">
        <v>1315</v>
      </c>
    </row>
    <row r="556" spans="1:8" x14ac:dyDescent="0.3">
      <c r="A556" t="s">
        <v>562</v>
      </c>
      <c r="B556" t="s">
        <v>1060</v>
      </c>
      <c r="C556" t="s">
        <v>1277</v>
      </c>
      <c r="D556" t="s">
        <v>1289</v>
      </c>
      <c r="E556">
        <v>8</v>
      </c>
      <c r="F556">
        <v>604</v>
      </c>
      <c r="G556">
        <v>4832</v>
      </c>
      <c r="H556" t="s">
        <v>1315</v>
      </c>
    </row>
    <row r="557" spans="1:8" x14ac:dyDescent="0.3">
      <c r="A557" t="s">
        <v>563</v>
      </c>
      <c r="B557" t="s">
        <v>1186</v>
      </c>
      <c r="C557" t="s">
        <v>1275</v>
      </c>
      <c r="D557" t="s">
        <v>1289</v>
      </c>
      <c r="E557">
        <v>5</v>
      </c>
      <c r="F557">
        <v>851</v>
      </c>
      <c r="G557">
        <v>4255</v>
      </c>
      <c r="H557" t="s">
        <v>1315</v>
      </c>
    </row>
    <row r="558" spans="1:8" x14ac:dyDescent="0.3">
      <c r="A558" t="s">
        <v>564</v>
      </c>
      <c r="B558" t="s">
        <v>1029</v>
      </c>
      <c r="C558" t="s">
        <v>1273</v>
      </c>
      <c r="D558" t="s">
        <v>1289</v>
      </c>
      <c r="E558">
        <v>10</v>
      </c>
      <c r="F558">
        <v>219</v>
      </c>
      <c r="G558">
        <v>2190</v>
      </c>
      <c r="H558" t="s">
        <v>1313</v>
      </c>
    </row>
    <row r="559" spans="1:8" x14ac:dyDescent="0.3">
      <c r="A559" t="s">
        <v>565</v>
      </c>
      <c r="B559" t="s">
        <v>921</v>
      </c>
      <c r="C559" t="s">
        <v>1276</v>
      </c>
      <c r="D559" t="s">
        <v>1290</v>
      </c>
      <c r="E559">
        <v>8</v>
      </c>
      <c r="F559">
        <v>740</v>
      </c>
      <c r="G559">
        <v>5920</v>
      </c>
      <c r="H559" t="s">
        <v>1316</v>
      </c>
    </row>
    <row r="560" spans="1:8" x14ac:dyDescent="0.3">
      <c r="A560" t="s">
        <v>566</v>
      </c>
      <c r="B560" t="s">
        <v>1213</v>
      </c>
      <c r="C560" t="s">
        <v>1277</v>
      </c>
      <c r="D560" t="s">
        <v>1289</v>
      </c>
      <c r="E560">
        <v>2</v>
      </c>
      <c r="F560">
        <v>853</v>
      </c>
      <c r="G560">
        <v>1706</v>
      </c>
      <c r="H560" t="s">
        <v>1316</v>
      </c>
    </row>
    <row r="561" spans="1:8" x14ac:dyDescent="0.3">
      <c r="A561" t="s">
        <v>567</v>
      </c>
      <c r="B561" t="s">
        <v>1214</v>
      </c>
      <c r="C561" t="s">
        <v>1279</v>
      </c>
      <c r="D561" t="s">
        <v>1289</v>
      </c>
      <c r="E561">
        <v>5</v>
      </c>
      <c r="F561">
        <v>262</v>
      </c>
      <c r="G561">
        <v>1310</v>
      </c>
      <c r="H561" t="s">
        <v>1313</v>
      </c>
    </row>
    <row r="562" spans="1:8" x14ac:dyDescent="0.3">
      <c r="A562" t="s">
        <v>568</v>
      </c>
      <c r="B562" t="s">
        <v>1123</v>
      </c>
      <c r="C562" t="s">
        <v>1275</v>
      </c>
      <c r="D562" t="s">
        <v>1289</v>
      </c>
      <c r="E562">
        <v>7</v>
      </c>
      <c r="F562">
        <v>90</v>
      </c>
      <c r="H562" t="s">
        <v>1316</v>
      </c>
    </row>
    <row r="563" spans="1:8" x14ac:dyDescent="0.3">
      <c r="A563" t="s">
        <v>569</v>
      </c>
      <c r="B563" t="s">
        <v>1121</v>
      </c>
      <c r="C563" t="s">
        <v>1275</v>
      </c>
      <c r="D563" t="s">
        <v>1289</v>
      </c>
      <c r="E563">
        <v>9</v>
      </c>
      <c r="F563">
        <v>533</v>
      </c>
      <c r="G563">
        <v>4797</v>
      </c>
      <c r="H563" t="s">
        <v>1316</v>
      </c>
    </row>
    <row r="564" spans="1:8" x14ac:dyDescent="0.3">
      <c r="A564" t="s">
        <v>570</v>
      </c>
      <c r="B564" t="s">
        <v>1038</v>
      </c>
      <c r="C564" t="s">
        <v>1276</v>
      </c>
      <c r="D564" t="s">
        <v>1290</v>
      </c>
      <c r="E564">
        <v>0</v>
      </c>
      <c r="F564" t="s">
        <v>1307</v>
      </c>
      <c r="G564">
        <v>4398</v>
      </c>
      <c r="H564" t="s">
        <v>1314</v>
      </c>
    </row>
    <row r="565" spans="1:8" x14ac:dyDescent="0.3">
      <c r="A565" t="s">
        <v>571</v>
      </c>
      <c r="B565" t="s">
        <v>992</v>
      </c>
      <c r="C565" t="s">
        <v>1273</v>
      </c>
      <c r="D565" t="s">
        <v>1289</v>
      </c>
      <c r="E565">
        <v>4</v>
      </c>
      <c r="F565">
        <v>688</v>
      </c>
      <c r="G565">
        <v>2752</v>
      </c>
      <c r="H565" t="s">
        <v>1315</v>
      </c>
    </row>
    <row r="566" spans="1:8" x14ac:dyDescent="0.3">
      <c r="A566" t="s">
        <v>572</v>
      </c>
      <c r="B566" t="s">
        <v>1044</v>
      </c>
      <c r="C566" t="s">
        <v>1279</v>
      </c>
      <c r="D566" t="s">
        <v>1289</v>
      </c>
      <c r="E566">
        <v>10</v>
      </c>
      <c r="F566">
        <v>60</v>
      </c>
      <c r="G566">
        <v>600</v>
      </c>
      <c r="H566" t="s">
        <v>1316</v>
      </c>
    </row>
    <row r="567" spans="1:8" x14ac:dyDescent="0.3">
      <c r="A567" t="s">
        <v>573</v>
      </c>
      <c r="B567" t="s">
        <v>932</v>
      </c>
      <c r="C567" t="s">
        <v>1280</v>
      </c>
      <c r="D567" t="s">
        <v>1290</v>
      </c>
      <c r="E567">
        <v>7</v>
      </c>
      <c r="F567">
        <v>123</v>
      </c>
      <c r="G567">
        <v>861</v>
      </c>
      <c r="H567" t="s">
        <v>1314</v>
      </c>
    </row>
    <row r="568" spans="1:8" x14ac:dyDescent="0.3">
      <c r="A568" t="s">
        <v>574</v>
      </c>
      <c r="B568" t="s">
        <v>1054</v>
      </c>
      <c r="C568" t="s">
        <v>1277</v>
      </c>
      <c r="D568" t="s">
        <v>1289</v>
      </c>
      <c r="E568">
        <v>4</v>
      </c>
      <c r="F568">
        <v>537</v>
      </c>
      <c r="H568" t="s">
        <v>1313</v>
      </c>
    </row>
    <row r="569" spans="1:8" x14ac:dyDescent="0.3">
      <c r="A569" t="s">
        <v>575</v>
      </c>
      <c r="B569" t="s">
        <v>1087</v>
      </c>
      <c r="C569" t="s">
        <v>1282</v>
      </c>
      <c r="D569" t="s">
        <v>1290</v>
      </c>
      <c r="E569">
        <v>6</v>
      </c>
      <c r="F569">
        <v>415</v>
      </c>
      <c r="G569">
        <v>2490</v>
      </c>
      <c r="H569" t="s">
        <v>1313</v>
      </c>
    </row>
    <row r="570" spans="1:8" x14ac:dyDescent="0.3">
      <c r="A570" t="s">
        <v>576</v>
      </c>
      <c r="B570" t="s">
        <v>1215</v>
      </c>
      <c r="C570" t="s">
        <v>1280</v>
      </c>
      <c r="D570" t="s">
        <v>1290</v>
      </c>
      <c r="E570">
        <v>1</v>
      </c>
      <c r="F570">
        <v>509</v>
      </c>
      <c r="H570" t="s">
        <v>1315</v>
      </c>
    </row>
    <row r="571" spans="1:8" x14ac:dyDescent="0.3">
      <c r="A571" t="s">
        <v>577</v>
      </c>
      <c r="B571" t="s">
        <v>1050</v>
      </c>
      <c r="C571" t="s">
        <v>1275</v>
      </c>
      <c r="D571" t="s">
        <v>1289</v>
      </c>
      <c r="E571">
        <v>2</v>
      </c>
      <c r="F571">
        <v>133</v>
      </c>
      <c r="G571">
        <v>266</v>
      </c>
      <c r="H571" t="s">
        <v>1315</v>
      </c>
    </row>
    <row r="572" spans="1:8" x14ac:dyDescent="0.3">
      <c r="A572" t="s">
        <v>578</v>
      </c>
      <c r="B572" t="s">
        <v>1216</v>
      </c>
      <c r="C572" t="s">
        <v>1277</v>
      </c>
      <c r="D572" t="s">
        <v>1289</v>
      </c>
      <c r="E572">
        <v>6</v>
      </c>
      <c r="F572">
        <v>481</v>
      </c>
      <c r="G572">
        <v>2886</v>
      </c>
      <c r="H572" t="s">
        <v>1316</v>
      </c>
    </row>
    <row r="573" spans="1:8" x14ac:dyDescent="0.3">
      <c r="A573" t="s">
        <v>579</v>
      </c>
      <c r="B573" t="s">
        <v>1190</v>
      </c>
      <c r="C573" t="s">
        <v>1280</v>
      </c>
      <c r="D573" t="s">
        <v>1292</v>
      </c>
      <c r="E573">
        <v>8</v>
      </c>
      <c r="F573">
        <v>114</v>
      </c>
      <c r="G573">
        <v>912</v>
      </c>
      <c r="H573" t="s">
        <v>1316</v>
      </c>
    </row>
    <row r="574" spans="1:8" x14ac:dyDescent="0.3">
      <c r="A574" t="s">
        <v>580</v>
      </c>
      <c r="B574" t="s">
        <v>1217</v>
      </c>
      <c r="C574" t="s">
        <v>1280</v>
      </c>
      <c r="D574" t="s">
        <v>1290</v>
      </c>
      <c r="E574">
        <v>2</v>
      </c>
      <c r="F574">
        <v>322</v>
      </c>
      <c r="G574">
        <v>644</v>
      </c>
      <c r="H574" t="s">
        <v>1314</v>
      </c>
    </row>
    <row r="575" spans="1:8" x14ac:dyDescent="0.3">
      <c r="A575" t="s">
        <v>581</v>
      </c>
      <c r="B575" t="s">
        <v>1023</v>
      </c>
      <c r="C575" t="s">
        <v>1276</v>
      </c>
      <c r="D575" t="s">
        <v>1290</v>
      </c>
      <c r="E575">
        <v>6</v>
      </c>
      <c r="F575">
        <v>678</v>
      </c>
      <c r="G575">
        <v>4068</v>
      </c>
      <c r="H575" t="s">
        <v>1313</v>
      </c>
    </row>
    <row r="576" spans="1:8" x14ac:dyDescent="0.3">
      <c r="A576" t="s">
        <v>582</v>
      </c>
      <c r="B576" t="s">
        <v>975</v>
      </c>
      <c r="C576" t="s">
        <v>1274</v>
      </c>
      <c r="D576" t="s">
        <v>1290</v>
      </c>
      <c r="E576">
        <v>9</v>
      </c>
      <c r="F576">
        <v>193</v>
      </c>
      <c r="G576">
        <v>1737</v>
      </c>
      <c r="H576" t="s">
        <v>1313</v>
      </c>
    </row>
    <row r="577" spans="1:8" x14ac:dyDescent="0.3">
      <c r="A577" t="s">
        <v>583</v>
      </c>
      <c r="B577" t="s">
        <v>1015</v>
      </c>
      <c r="C577" t="s">
        <v>1280</v>
      </c>
      <c r="D577" t="s">
        <v>1290</v>
      </c>
      <c r="E577">
        <v>9</v>
      </c>
      <c r="F577">
        <v>451</v>
      </c>
      <c r="G577">
        <v>4059</v>
      </c>
      <c r="H577" t="s">
        <v>1313</v>
      </c>
    </row>
    <row r="578" spans="1:8" x14ac:dyDescent="0.3">
      <c r="A578" t="s">
        <v>584</v>
      </c>
      <c r="B578" t="s">
        <v>934</v>
      </c>
      <c r="C578" t="s">
        <v>1275</v>
      </c>
      <c r="D578" t="s">
        <v>1289</v>
      </c>
      <c r="E578">
        <v>3</v>
      </c>
      <c r="F578">
        <v>205</v>
      </c>
      <c r="G578">
        <v>615</v>
      </c>
      <c r="H578" t="s">
        <v>1316</v>
      </c>
    </row>
    <row r="579" spans="1:8" x14ac:dyDescent="0.3">
      <c r="A579" t="s">
        <v>585</v>
      </c>
      <c r="B579" t="s">
        <v>1094</v>
      </c>
      <c r="C579" t="s">
        <v>1275</v>
      </c>
      <c r="D579" t="s">
        <v>1289</v>
      </c>
      <c r="E579">
        <v>1</v>
      </c>
      <c r="F579">
        <v>770</v>
      </c>
      <c r="G579">
        <v>770</v>
      </c>
      <c r="H579" t="s">
        <v>1313</v>
      </c>
    </row>
    <row r="580" spans="1:8" x14ac:dyDescent="0.3">
      <c r="A580" t="s">
        <v>586</v>
      </c>
      <c r="B580" t="s">
        <v>1218</v>
      </c>
      <c r="C580" t="s">
        <v>1282</v>
      </c>
      <c r="D580" t="s">
        <v>1290</v>
      </c>
      <c r="E580">
        <v>10</v>
      </c>
      <c r="F580">
        <v>454</v>
      </c>
      <c r="G580">
        <v>4540</v>
      </c>
      <c r="H580" t="s">
        <v>1314</v>
      </c>
    </row>
    <row r="581" spans="1:8" x14ac:dyDescent="0.3">
      <c r="A581" t="s">
        <v>587</v>
      </c>
      <c r="B581" t="s">
        <v>1173</v>
      </c>
      <c r="C581" t="s">
        <v>1274</v>
      </c>
      <c r="D581" t="s">
        <v>1290</v>
      </c>
      <c r="E581">
        <v>4</v>
      </c>
      <c r="F581">
        <v>300</v>
      </c>
      <c r="G581">
        <v>1200</v>
      </c>
      <c r="H581" t="s">
        <v>1320</v>
      </c>
    </row>
    <row r="582" spans="1:8" x14ac:dyDescent="0.3">
      <c r="A582" t="s">
        <v>588</v>
      </c>
      <c r="B582" t="s">
        <v>1165</v>
      </c>
      <c r="C582" t="s">
        <v>1273</v>
      </c>
      <c r="D582" t="s">
        <v>1289</v>
      </c>
      <c r="E582">
        <v>0</v>
      </c>
      <c r="F582">
        <v>206</v>
      </c>
      <c r="G582">
        <v>1854</v>
      </c>
      <c r="H582" t="s">
        <v>1319</v>
      </c>
    </row>
    <row r="583" spans="1:8" x14ac:dyDescent="0.3">
      <c r="A583" t="s">
        <v>589</v>
      </c>
      <c r="B583" t="s">
        <v>933</v>
      </c>
      <c r="C583" t="s">
        <v>1274</v>
      </c>
      <c r="D583" t="s">
        <v>1290</v>
      </c>
      <c r="E583">
        <v>8</v>
      </c>
      <c r="F583">
        <v>131</v>
      </c>
      <c r="G583">
        <v>1048</v>
      </c>
      <c r="H583" t="s">
        <v>1316</v>
      </c>
    </row>
    <row r="584" spans="1:8" x14ac:dyDescent="0.3">
      <c r="A584" t="s">
        <v>590</v>
      </c>
      <c r="B584" t="s">
        <v>1114</v>
      </c>
      <c r="C584" t="s">
        <v>1280</v>
      </c>
      <c r="D584" t="s">
        <v>1290</v>
      </c>
      <c r="E584">
        <v>10</v>
      </c>
      <c r="F584">
        <v>412</v>
      </c>
      <c r="G584">
        <v>4120</v>
      </c>
      <c r="H584" t="s">
        <v>1316</v>
      </c>
    </row>
    <row r="585" spans="1:8" x14ac:dyDescent="0.3">
      <c r="A585" t="s">
        <v>591</v>
      </c>
      <c r="B585" t="s">
        <v>1136</v>
      </c>
      <c r="C585" t="s">
        <v>1273</v>
      </c>
      <c r="D585" t="s">
        <v>1289</v>
      </c>
      <c r="E585">
        <v>6</v>
      </c>
      <c r="F585">
        <v>375</v>
      </c>
      <c r="G585">
        <v>2250</v>
      </c>
      <c r="H585" t="s">
        <v>1313</v>
      </c>
    </row>
    <row r="586" spans="1:8" x14ac:dyDescent="0.3">
      <c r="A586" t="s">
        <v>592</v>
      </c>
      <c r="B586" t="s">
        <v>995</v>
      </c>
      <c r="C586" t="s">
        <v>1277</v>
      </c>
      <c r="D586" t="s">
        <v>1289</v>
      </c>
      <c r="E586">
        <v>10</v>
      </c>
      <c r="F586">
        <v>619</v>
      </c>
      <c r="G586">
        <v>6190</v>
      </c>
      <c r="H586" t="s">
        <v>1313</v>
      </c>
    </row>
    <row r="587" spans="1:8" x14ac:dyDescent="0.3">
      <c r="A587" t="s">
        <v>593</v>
      </c>
      <c r="B587" t="s">
        <v>983</v>
      </c>
      <c r="C587" t="s">
        <v>1280</v>
      </c>
      <c r="D587" t="s">
        <v>1290</v>
      </c>
      <c r="E587">
        <v>2</v>
      </c>
      <c r="F587">
        <v>259</v>
      </c>
      <c r="G587">
        <v>518</v>
      </c>
      <c r="H587" t="s">
        <v>1314</v>
      </c>
    </row>
    <row r="588" spans="1:8" x14ac:dyDescent="0.3">
      <c r="A588" t="s">
        <v>594</v>
      </c>
      <c r="B588" t="s">
        <v>1050</v>
      </c>
      <c r="C588" t="s">
        <v>1279</v>
      </c>
      <c r="D588" t="s">
        <v>1289</v>
      </c>
      <c r="E588">
        <v>6</v>
      </c>
      <c r="F588">
        <v>725</v>
      </c>
      <c r="H588" t="s">
        <v>1316</v>
      </c>
    </row>
    <row r="589" spans="1:8" x14ac:dyDescent="0.3">
      <c r="A589" t="s">
        <v>595</v>
      </c>
      <c r="B589" t="s">
        <v>1219</v>
      </c>
      <c r="C589" t="s">
        <v>1275</v>
      </c>
      <c r="D589" t="s">
        <v>1289</v>
      </c>
      <c r="E589">
        <v>10</v>
      </c>
      <c r="F589">
        <v>156</v>
      </c>
      <c r="G589">
        <v>1560</v>
      </c>
      <c r="H589" t="s">
        <v>1316</v>
      </c>
    </row>
    <row r="590" spans="1:8" x14ac:dyDescent="0.3">
      <c r="A590" t="s">
        <v>596</v>
      </c>
      <c r="B590" t="s">
        <v>920</v>
      </c>
      <c r="C590" t="s">
        <v>1275</v>
      </c>
      <c r="D590" t="s">
        <v>1291</v>
      </c>
      <c r="E590">
        <v>3</v>
      </c>
      <c r="F590">
        <v>513</v>
      </c>
      <c r="G590">
        <v>1539</v>
      </c>
      <c r="H590" t="s">
        <v>1313</v>
      </c>
    </row>
    <row r="591" spans="1:8" x14ac:dyDescent="0.3">
      <c r="A591" t="s">
        <v>597</v>
      </c>
      <c r="B591" t="s">
        <v>1208</v>
      </c>
      <c r="C591" t="s">
        <v>1279</v>
      </c>
      <c r="D591" t="s">
        <v>1289</v>
      </c>
      <c r="E591">
        <v>8</v>
      </c>
      <c r="F591">
        <v>310</v>
      </c>
      <c r="G591">
        <v>2480</v>
      </c>
      <c r="H591" t="s">
        <v>1313</v>
      </c>
    </row>
    <row r="592" spans="1:8" x14ac:dyDescent="0.3">
      <c r="A592" t="s">
        <v>598</v>
      </c>
      <c r="B592" t="s">
        <v>1041</v>
      </c>
      <c r="C592" t="s">
        <v>1280</v>
      </c>
      <c r="D592" t="s">
        <v>1290</v>
      </c>
      <c r="E592">
        <v>8</v>
      </c>
      <c r="F592">
        <v>649</v>
      </c>
      <c r="G592">
        <v>5192</v>
      </c>
      <c r="H592" t="s">
        <v>1315</v>
      </c>
    </row>
    <row r="593" spans="1:8" x14ac:dyDescent="0.3">
      <c r="A593" t="s">
        <v>599</v>
      </c>
      <c r="B593" t="s">
        <v>1040</v>
      </c>
      <c r="C593" t="s">
        <v>1276</v>
      </c>
      <c r="D593" t="s">
        <v>1290</v>
      </c>
      <c r="E593">
        <v>8</v>
      </c>
      <c r="F593">
        <v>154</v>
      </c>
      <c r="G593">
        <v>1232</v>
      </c>
      <c r="H593" t="s">
        <v>1316</v>
      </c>
    </row>
    <row r="594" spans="1:8" x14ac:dyDescent="0.3">
      <c r="A594" t="s">
        <v>600</v>
      </c>
      <c r="B594" t="s">
        <v>1220</v>
      </c>
      <c r="C594" t="s">
        <v>1282</v>
      </c>
      <c r="D594" t="s">
        <v>1290</v>
      </c>
      <c r="E594">
        <v>7</v>
      </c>
      <c r="F594">
        <v>716</v>
      </c>
      <c r="G594">
        <v>5012</v>
      </c>
      <c r="H594" t="s">
        <v>1316</v>
      </c>
    </row>
    <row r="595" spans="1:8" x14ac:dyDescent="0.3">
      <c r="A595" t="s">
        <v>601</v>
      </c>
      <c r="B595" t="s">
        <v>1221</v>
      </c>
      <c r="C595" t="s">
        <v>1282</v>
      </c>
      <c r="D595" t="s">
        <v>1290</v>
      </c>
      <c r="E595">
        <v>8</v>
      </c>
      <c r="F595">
        <v>186</v>
      </c>
      <c r="G595">
        <v>1488</v>
      </c>
      <c r="H595" t="s">
        <v>1314</v>
      </c>
    </row>
    <row r="596" spans="1:8" x14ac:dyDescent="0.3">
      <c r="A596" t="s">
        <v>602</v>
      </c>
      <c r="B596" t="s">
        <v>908</v>
      </c>
      <c r="C596" t="s">
        <v>1274</v>
      </c>
      <c r="D596" t="s">
        <v>1290</v>
      </c>
      <c r="E596">
        <v>5</v>
      </c>
      <c r="F596" t="s">
        <v>1308</v>
      </c>
      <c r="G596">
        <v>240</v>
      </c>
      <c r="H596" t="s">
        <v>1313</v>
      </c>
    </row>
    <row r="597" spans="1:8" x14ac:dyDescent="0.3">
      <c r="A597" t="s">
        <v>603</v>
      </c>
      <c r="B597" t="s">
        <v>1136</v>
      </c>
      <c r="C597" t="s">
        <v>1277</v>
      </c>
      <c r="D597" t="s">
        <v>1289</v>
      </c>
      <c r="E597">
        <v>3</v>
      </c>
      <c r="F597">
        <v>814</v>
      </c>
      <c r="G597">
        <v>2442</v>
      </c>
      <c r="H597" t="s">
        <v>1316</v>
      </c>
    </row>
    <row r="598" spans="1:8" x14ac:dyDescent="0.3">
      <c r="A598" t="s">
        <v>604</v>
      </c>
      <c r="B598" t="s">
        <v>1222</v>
      </c>
      <c r="C598" t="s">
        <v>1273</v>
      </c>
      <c r="D598" t="s">
        <v>1289</v>
      </c>
      <c r="E598">
        <v>10</v>
      </c>
      <c r="F598">
        <v>131</v>
      </c>
      <c r="G598">
        <v>1310</v>
      </c>
      <c r="H598" t="s">
        <v>1315</v>
      </c>
    </row>
    <row r="599" spans="1:8" x14ac:dyDescent="0.3">
      <c r="A599" t="s">
        <v>605</v>
      </c>
      <c r="B599" t="s">
        <v>1182</v>
      </c>
      <c r="C599" t="s">
        <v>1276</v>
      </c>
      <c r="D599" t="s">
        <v>1290</v>
      </c>
      <c r="E599">
        <v>8</v>
      </c>
      <c r="F599">
        <v>574</v>
      </c>
      <c r="G599">
        <v>4592</v>
      </c>
      <c r="H599" t="s">
        <v>1316</v>
      </c>
    </row>
    <row r="600" spans="1:8" x14ac:dyDescent="0.3">
      <c r="A600" t="s">
        <v>606</v>
      </c>
      <c r="B600" t="s">
        <v>924</v>
      </c>
      <c r="C600" t="s">
        <v>1273</v>
      </c>
      <c r="D600" t="s">
        <v>1289</v>
      </c>
      <c r="E600">
        <v>4</v>
      </c>
      <c r="F600">
        <v>319</v>
      </c>
      <c r="G600">
        <v>1276</v>
      </c>
      <c r="H600" t="s">
        <v>1318</v>
      </c>
    </row>
    <row r="601" spans="1:8" x14ac:dyDescent="0.3">
      <c r="A601" t="s">
        <v>607</v>
      </c>
      <c r="B601" t="s">
        <v>1030</v>
      </c>
      <c r="C601" t="s">
        <v>1277</v>
      </c>
      <c r="D601" t="s">
        <v>1291</v>
      </c>
      <c r="E601">
        <v>6</v>
      </c>
      <c r="F601">
        <v>897</v>
      </c>
      <c r="G601">
        <v>5382</v>
      </c>
      <c r="H601" t="s">
        <v>1316</v>
      </c>
    </row>
    <row r="602" spans="1:8" x14ac:dyDescent="0.3">
      <c r="A602" t="s">
        <v>608</v>
      </c>
      <c r="B602" t="s">
        <v>912</v>
      </c>
      <c r="C602" t="s">
        <v>1273</v>
      </c>
      <c r="D602" t="s">
        <v>1289</v>
      </c>
      <c r="E602">
        <v>4</v>
      </c>
      <c r="F602">
        <v>229</v>
      </c>
      <c r="G602">
        <v>916</v>
      </c>
      <c r="H602" t="s">
        <v>1315</v>
      </c>
    </row>
    <row r="603" spans="1:8" x14ac:dyDescent="0.3">
      <c r="A603" t="s">
        <v>609</v>
      </c>
      <c r="B603" t="s">
        <v>1208</v>
      </c>
      <c r="C603" t="s">
        <v>1275</v>
      </c>
      <c r="D603" t="s">
        <v>1289</v>
      </c>
      <c r="E603">
        <v>3</v>
      </c>
      <c r="F603">
        <v>645</v>
      </c>
      <c r="G603">
        <v>1935</v>
      </c>
      <c r="H603" t="s">
        <v>1313</v>
      </c>
    </row>
    <row r="604" spans="1:8" x14ac:dyDescent="0.3">
      <c r="A604" t="s">
        <v>610</v>
      </c>
      <c r="B604" t="s">
        <v>1018</v>
      </c>
      <c r="C604" t="s">
        <v>1274</v>
      </c>
      <c r="D604" t="s">
        <v>1290</v>
      </c>
      <c r="E604">
        <v>1</v>
      </c>
      <c r="F604">
        <v>598</v>
      </c>
      <c r="G604">
        <v>598</v>
      </c>
      <c r="H604" t="s">
        <v>1315</v>
      </c>
    </row>
    <row r="605" spans="1:8" x14ac:dyDescent="0.3">
      <c r="A605" t="s">
        <v>611</v>
      </c>
      <c r="B605" t="s">
        <v>1059</v>
      </c>
      <c r="C605" t="s">
        <v>1279</v>
      </c>
      <c r="D605" t="s">
        <v>1289</v>
      </c>
      <c r="E605">
        <v>6</v>
      </c>
      <c r="F605">
        <v>735</v>
      </c>
      <c r="G605">
        <v>4410</v>
      </c>
      <c r="H605" t="s">
        <v>1315</v>
      </c>
    </row>
    <row r="606" spans="1:8" x14ac:dyDescent="0.3">
      <c r="A606" t="s">
        <v>612</v>
      </c>
      <c r="B606" t="s">
        <v>948</v>
      </c>
      <c r="C606" t="s">
        <v>1277</v>
      </c>
      <c r="D606" t="s">
        <v>1289</v>
      </c>
      <c r="E606">
        <v>9</v>
      </c>
      <c r="F606">
        <v>710</v>
      </c>
      <c r="G606">
        <v>6390</v>
      </c>
      <c r="H606" t="s">
        <v>1313</v>
      </c>
    </row>
    <row r="607" spans="1:8" x14ac:dyDescent="0.3">
      <c r="A607" t="s">
        <v>613</v>
      </c>
      <c r="B607" t="s">
        <v>1067</v>
      </c>
      <c r="C607" t="s">
        <v>1275</v>
      </c>
      <c r="D607" t="s">
        <v>1289</v>
      </c>
      <c r="E607">
        <v>1</v>
      </c>
      <c r="F607">
        <v>298</v>
      </c>
      <c r="G607">
        <v>298</v>
      </c>
      <c r="H607" t="s">
        <v>1313</v>
      </c>
    </row>
    <row r="608" spans="1:8" x14ac:dyDescent="0.3">
      <c r="A608" t="s">
        <v>614</v>
      </c>
      <c r="B608" t="s">
        <v>1036</v>
      </c>
      <c r="C608" t="s">
        <v>1279</v>
      </c>
      <c r="D608" t="s">
        <v>1289</v>
      </c>
      <c r="E608">
        <v>4</v>
      </c>
      <c r="F608">
        <v>164</v>
      </c>
      <c r="G608">
        <v>656</v>
      </c>
      <c r="H608" t="s">
        <v>1315</v>
      </c>
    </row>
    <row r="609" spans="1:8" x14ac:dyDescent="0.3">
      <c r="A609" t="s">
        <v>615</v>
      </c>
      <c r="B609" t="s">
        <v>1050</v>
      </c>
      <c r="C609" t="s">
        <v>1274</v>
      </c>
      <c r="D609" t="s">
        <v>1290</v>
      </c>
      <c r="E609">
        <v>7</v>
      </c>
      <c r="F609">
        <v>516</v>
      </c>
      <c r="G609">
        <v>3612</v>
      </c>
      <c r="H609" t="s">
        <v>1315</v>
      </c>
    </row>
    <row r="610" spans="1:8" x14ac:dyDescent="0.3">
      <c r="A610" t="s">
        <v>616</v>
      </c>
      <c r="B610" t="s">
        <v>1203</v>
      </c>
      <c r="C610" t="s">
        <v>1275</v>
      </c>
      <c r="D610" t="s">
        <v>1289</v>
      </c>
      <c r="E610">
        <v>7</v>
      </c>
      <c r="F610">
        <v>477</v>
      </c>
      <c r="G610">
        <v>3339</v>
      </c>
      <c r="H610" t="s">
        <v>1314</v>
      </c>
    </row>
    <row r="611" spans="1:8" x14ac:dyDescent="0.3">
      <c r="A611" t="s">
        <v>617</v>
      </c>
      <c r="B611" t="s">
        <v>952</v>
      </c>
      <c r="C611" t="s">
        <v>1275</v>
      </c>
      <c r="D611" t="s">
        <v>1289</v>
      </c>
      <c r="E611">
        <v>9</v>
      </c>
      <c r="F611">
        <v>782</v>
      </c>
      <c r="G611">
        <v>7038</v>
      </c>
      <c r="H611" t="s">
        <v>1315</v>
      </c>
    </row>
    <row r="612" spans="1:8" x14ac:dyDescent="0.3">
      <c r="A612" t="s">
        <v>618</v>
      </c>
      <c r="B612" t="s">
        <v>1223</v>
      </c>
      <c r="C612" t="s">
        <v>1282</v>
      </c>
      <c r="D612" t="s">
        <v>1290</v>
      </c>
      <c r="E612">
        <v>8</v>
      </c>
      <c r="F612">
        <v>350</v>
      </c>
      <c r="H612" t="s">
        <v>1314</v>
      </c>
    </row>
    <row r="613" spans="1:8" x14ac:dyDescent="0.3">
      <c r="A613" t="s">
        <v>619</v>
      </c>
      <c r="B613" t="s">
        <v>992</v>
      </c>
      <c r="C613" t="s">
        <v>1273</v>
      </c>
      <c r="D613" t="s">
        <v>1289</v>
      </c>
      <c r="E613">
        <v>8</v>
      </c>
      <c r="F613">
        <v>665</v>
      </c>
      <c r="G613">
        <v>5320</v>
      </c>
      <c r="H613" t="s">
        <v>1315</v>
      </c>
    </row>
    <row r="614" spans="1:8" x14ac:dyDescent="0.3">
      <c r="A614" t="s">
        <v>620</v>
      </c>
      <c r="B614" t="s">
        <v>1182</v>
      </c>
      <c r="C614" t="s">
        <v>1273</v>
      </c>
      <c r="D614" t="s">
        <v>1289</v>
      </c>
      <c r="E614">
        <v>9</v>
      </c>
      <c r="F614">
        <v>422</v>
      </c>
      <c r="G614">
        <v>3798</v>
      </c>
      <c r="H614" t="s">
        <v>1316</v>
      </c>
    </row>
    <row r="615" spans="1:8" x14ac:dyDescent="0.3">
      <c r="A615" t="s">
        <v>621</v>
      </c>
      <c r="B615" t="s">
        <v>1224</v>
      </c>
      <c r="C615" t="s">
        <v>1274</v>
      </c>
      <c r="D615" t="s">
        <v>1290</v>
      </c>
      <c r="E615">
        <v>8</v>
      </c>
      <c r="F615">
        <v>289</v>
      </c>
      <c r="G615">
        <v>2312</v>
      </c>
      <c r="H615" t="s">
        <v>1315</v>
      </c>
    </row>
    <row r="616" spans="1:8" x14ac:dyDescent="0.3">
      <c r="A616" t="s">
        <v>622</v>
      </c>
      <c r="B616" t="s">
        <v>1102</v>
      </c>
      <c r="C616" t="s">
        <v>1280</v>
      </c>
      <c r="D616" t="s">
        <v>1290</v>
      </c>
      <c r="E616">
        <v>9</v>
      </c>
      <c r="F616">
        <v>606</v>
      </c>
      <c r="G616">
        <v>5454</v>
      </c>
      <c r="H616" t="s">
        <v>1316</v>
      </c>
    </row>
    <row r="617" spans="1:8" x14ac:dyDescent="0.3">
      <c r="A617" t="s">
        <v>623</v>
      </c>
      <c r="B617" t="s">
        <v>1091</v>
      </c>
      <c r="C617" t="s">
        <v>1280</v>
      </c>
      <c r="D617" t="s">
        <v>1290</v>
      </c>
      <c r="E617">
        <v>1</v>
      </c>
      <c r="F617">
        <v>62</v>
      </c>
      <c r="G617">
        <v>62</v>
      </c>
      <c r="H617" t="s">
        <v>1316</v>
      </c>
    </row>
    <row r="618" spans="1:8" x14ac:dyDescent="0.3">
      <c r="A618" t="s">
        <v>624</v>
      </c>
      <c r="B618" t="s">
        <v>1225</v>
      </c>
      <c r="C618" t="s">
        <v>1276</v>
      </c>
      <c r="D618" t="s">
        <v>1290</v>
      </c>
      <c r="E618">
        <v>2</v>
      </c>
      <c r="F618">
        <v>893</v>
      </c>
      <c r="G618">
        <v>1786</v>
      </c>
      <c r="H618" t="s">
        <v>1316</v>
      </c>
    </row>
    <row r="619" spans="1:8" x14ac:dyDescent="0.3">
      <c r="A619" t="s">
        <v>625</v>
      </c>
      <c r="B619" t="s">
        <v>1226</v>
      </c>
      <c r="C619" t="s">
        <v>1282</v>
      </c>
      <c r="D619" t="s">
        <v>1290</v>
      </c>
      <c r="E619">
        <v>1</v>
      </c>
      <c r="F619">
        <v>453</v>
      </c>
      <c r="G619">
        <v>453</v>
      </c>
      <c r="H619" t="s">
        <v>1313</v>
      </c>
    </row>
    <row r="620" spans="1:8" x14ac:dyDescent="0.3">
      <c r="A620" t="s">
        <v>626</v>
      </c>
      <c r="B620" t="s">
        <v>910</v>
      </c>
      <c r="C620" t="s">
        <v>1277</v>
      </c>
      <c r="D620" t="s">
        <v>1289</v>
      </c>
      <c r="E620">
        <v>3</v>
      </c>
      <c r="F620">
        <v>295</v>
      </c>
      <c r="G620">
        <v>885</v>
      </c>
      <c r="H620" t="s">
        <v>1315</v>
      </c>
    </row>
    <row r="621" spans="1:8" x14ac:dyDescent="0.3">
      <c r="A621" t="s">
        <v>627</v>
      </c>
      <c r="B621" t="s">
        <v>992</v>
      </c>
      <c r="C621" t="s">
        <v>1277</v>
      </c>
      <c r="D621" t="s">
        <v>1289</v>
      </c>
      <c r="E621">
        <v>2</v>
      </c>
      <c r="F621">
        <v>395</v>
      </c>
      <c r="G621">
        <v>790</v>
      </c>
      <c r="H621" t="s">
        <v>1313</v>
      </c>
    </row>
    <row r="622" spans="1:8" x14ac:dyDescent="0.3">
      <c r="A622" t="s">
        <v>628</v>
      </c>
      <c r="B622" t="s">
        <v>983</v>
      </c>
      <c r="C622" t="s">
        <v>1276</v>
      </c>
      <c r="D622" t="s">
        <v>1290</v>
      </c>
      <c r="E622">
        <v>7</v>
      </c>
      <c r="F622">
        <v>655</v>
      </c>
      <c r="G622">
        <v>4585</v>
      </c>
      <c r="H622" t="s">
        <v>1313</v>
      </c>
    </row>
    <row r="623" spans="1:8" x14ac:dyDescent="0.3">
      <c r="A623" t="s">
        <v>629</v>
      </c>
      <c r="B623" t="s">
        <v>1227</v>
      </c>
      <c r="C623" t="s">
        <v>1275</v>
      </c>
      <c r="D623" t="s">
        <v>1289</v>
      </c>
      <c r="E623">
        <v>2</v>
      </c>
      <c r="F623">
        <v>735</v>
      </c>
      <c r="G623">
        <v>1470</v>
      </c>
      <c r="H623" t="s">
        <v>1314</v>
      </c>
    </row>
    <row r="624" spans="1:8" x14ac:dyDescent="0.3">
      <c r="A624" t="s">
        <v>630</v>
      </c>
      <c r="B624" t="s">
        <v>966</v>
      </c>
      <c r="C624" t="s">
        <v>1274</v>
      </c>
      <c r="D624" t="s">
        <v>1290</v>
      </c>
      <c r="E624">
        <v>8</v>
      </c>
      <c r="F624">
        <v>94</v>
      </c>
      <c r="G624">
        <v>752</v>
      </c>
      <c r="H624" t="s">
        <v>1313</v>
      </c>
    </row>
    <row r="625" spans="1:8" x14ac:dyDescent="0.3">
      <c r="A625" t="s">
        <v>631</v>
      </c>
      <c r="B625" t="s">
        <v>994</v>
      </c>
      <c r="C625" t="s">
        <v>1282</v>
      </c>
      <c r="D625" t="s">
        <v>1290</v>
      </c>
      <c r="E625">
        <v>1</v>
      </c>
      <c r="F625">
        <v>23</v>
      </c>
      <c r="G625">
        <v>23</v>
      </c>
      <c r="H625" t="s">
        <v>1315</v>
      </c>
    </row>
    <row r="626" spans="1:8" x14ac:dyDescent="0.3">
      <c r="A626" t="s">
        <v>632</v>
      </c>
      <c r="B626" t="s">
        <v>966</v>
      </c>
      <c r="C626" t="s">
        <v>1273</v>
      </c>
      <c r="D626" t="s">
        <v>1289</v>
      </c>
      <c r="E626">
        <v>7</v>
      </c>
      <c r="F626">
        <v>725</v>
      </c>
      <c r="G626">
        <v>5075</v>
      </c>
      <c r="H626" t="s">
        <v>1316</v>
      </c>
    </row>
    <row r="627" spans="1:8" x14ac:dyDescent="0.3">
      <c r="A627" t="s">
        <v>633</v>
      </c>
      <c r="B627" t="s">
        <v>1228</v>
      </c>
      <c r="C627" t="s">
        <v>1273</v>
      </c>
      <c r="D627" t="s">
        <v>1289</v>
      </c>
      <c r="E627">
        <v>4</v>
      </c>
      <c r="F627">
        <v>407</v>
      </c>
      <c r="G627">
        <v>1628</v>
      </c>
      <c r="H627" t="s">
        <v>1314</v>
      </c>
    </row>
    <row r="628" spans="1:8" x14ac:dyDescent="0.3">
      <c r="A628" t="s">
        <v>634</v>
      </c>
      <c r="B628" t="s">
        <v>993</v>
      </c>
      <c r="C628" t="s">
        <v>1273</v>
      </c>
      <c r="D628" t="s">
        <v>1289</v>
      </c>
      <c r="E628">
        <v>6</v>
      </c>
      <c r="F628">
        <v>391</v>
      </c>
      <c r="G628">
        <v>2346</v>
      </c>
      <c r="H628" t="s">
        <v>1313</v>
      </c>
    </row>
    <row r="629" spans="1:8" x14ac:dyDescent="0.3">
      <c r="A629" t="s">
        <v>635</v>
      </c>
      <c r="B629" t="s">
        <v>1174</v>
      </c>
      <c r="C629" t="s">
        <v>1275</v>
      </c>
      <c r="D629" t="s">
        <v>1289</v>
      </c>
      <c r="E629">
        <v>3</v>
      </c>
      <c r="F629">
        <v>671</v>
      </c>
      <c r="G629">
        <v>2013</v>
      </c>
      <c r="H629" t="s">
        <v>1313</v>
      </c>
    </row>
    <row r="630" spans="1:8" x14ac:dyDescent="0.3">
      <c r="A630" t="s">
        <v>636</v>
      </c>
      <c r="B630" t="s">
        <v>1078</v>
      </c>
      <c r="C630" t="s">
        <v>1273</v>
      </c>
      <c r="D630" t="s">
        <v>1289</v>
      </c>
      <c r="E630">
        <v>9</v>
      </c>
      <c r="F630">
        <v>591</v>
      </c>
      <c r="G630">
        <v>5319</v>
      </c>
      <c r="H630" t="s">
        <v>1313</v>
      </c>
    </row>
    <row r="631" spans="1:8" x14ac:dyDescent="0.3">
      <c r="A631" t="s">
        <v>637</v>
      </c>
      <c r="B631" t="s">
        <v>1229</v>
      </c>
      <c r="C631" t="s">
        <v>1282</v>
      </c>
      <c r="D631" t="s">
        <v>1290</v>
      </c>
      <c r="E631">
        <v>6</v>
      </c>
      <c r="F631">
        <v>754</v>
      </c>
      <c r="G631">
        <v>4524</v>
      </c>
      <c r="H631" t="s">
        <v>1313</v>
      </c>
    </row>
    <row r="632" spans="1:8" x14ac:dyDescent="0.3">
      <c r="A632" t="s">
        <v>638</v>
      </c>
      <c r="B632" t="s">
        <v>974</v>
      </c>
      <c r="C632" t="s">
        <v>1275</v>
      </c>
      <c r="D632" t="s">
        <v>1289</v>
      </c>
      <c r="E632">
        <v>10</v>
      </c>
      <c r="F632">
        <v>718</v>
      </c>
      <c r="G632">
        <v>7180</v>
      </c>
      <c r="H632" t="s">
        <v>1313</v>
      </c>
    </row>
    <row r="633" spans="1:8" x14ac:dyDescent="0.3">
      <c r="A633" t="s">
        <v>639</v>
      </c>
      <c r="B633" t="s">
        <v>1230</v>
      </c>
      <c r="C633" t="s">
        <v>1273</v>
      </c>
      <c r="D633" t="s">
        <v>1289</v>
      </c>
      <c r="E633">
        <v>0</v>
      </c>
      <c r="F633">
        <v>158</v>
      </c>
      <c r="G633">
        <v>316</v>
      </c>
      <c r="H633" t="s">
        <v>1318</v>
      </c>
    </row>
    <row r="634" spans="1:8" x14ac:dyDescent="0.3">
      <c r="A634" t="s">
        <v>640</v>
      </c>
      <c r="B634" t="s">
        <v>1208</v>
      </c>
      <c r="C634" t="s">
        <v>1280</v>
      </c>
      <c r="D634" t="s">
        <v>1290</v>
      </c>
      <c r="E634">
        <v>7</v>
      </c>
      <c r="F634">
        <v>337</v>
      </c>
      <c r="G634">
        <v>2359</v>
      </c>
      <c r="H634" t="s">
        <v>1313</v>
      </c>
    </row>
    <row r="635" spans="1:8" x14ac:dyDescent="0.3">
      <c r="A635" t="s">
        <v>641</v>
      </c>
      <c r="B635" t="s">
        <v>1199</v>
      </c>
      <c r="C635" t="s">
        <v>1277</v>
      </c>
      <c r="D635" t="s">
        <v>1291</v>
      </c>
      <c r="E635">
        <v>2</v>
      </c>
      <c r="F635">
        <v>269</v>
      </c>
      <c r="G635">
        <v>538</v>
      </c>
      <c r="H635" t="s">
        <v>1315</v>
      </c>
    </row>
    <row r="636" spans="1:8" x14ac:dyDescent="0.3">
      <c r="A636" t="s">
        <v>642</v>
      </c>
      <c r="B636" t="s">
        <v>1054</v>
      </c>
      <c r="C636" t="s">
        <v>1276</v>
      </c>
      <c r="D636" t="s">
        <v>1290</v>
      </c>
      <c r="E636">
        <v>5</v>
      </c>
      <c r="F636" t="s">
        <v>1309</v>
      </c>
      <c r="G636">
        <v>1125</v>
      </c>
      <c r="H636" t="s">
        <v>1313</v>
      </c>
    </row>
    <row r="637" spans="1:8" x14ac:dyDescent="0.3">
      <c r="A637" t="s">
        <v>643</v>
      </c>
      <c r="B637" t="s">
        <v>1041</v>
      </c>
      <c r="C637" t="s">
        <v>1275</v>
      </c>
      <c r="D637" t="s">
        <v>1289</v>
      </c>
      <c r="E637">
        <v>5</v>
      </c>
      <c r="F637">
        <v>676</v>
      </c>
      <c r="G637">
        <v>3380</v>
      </c>
      <c r="H637" t="s">
        <v>1313</v>
      </c>
    </row>
    <row r="638" spans="1:8" x14ac:dyDescent="0.3">
      <c r="A638" t="s">
        <v>644</v>
      </c>
      <c r="B638" t="s">
        <v>937</v>
      </c>
      <c r="C638" t="s">
        <v>1282</v>
      </c>
      <c r="D638" t="s">
        <v>1290</v>
      </c>
      <c r="E638">
        <v>7</v>
      </c>
      <c r="F638">
        <v>130</v>
      </c>
      <c r="G638">
        <v>910</v>
      </c>
      <c r="H638" t="s">
        <v>1316</v>
      </c>
    </row>
    <row r="639" spans="1:8" x14ac:dyDescent="0.3">
      <c r="A639" t="s">
        <v>645</v>
      </c>
      <c r="B639" t="s">
        <v>1205</v>
      </c>
      <c r="C639" t="s">
        <v>1273</v>
      </c>
      <c r="D639" t="s">
        <v>1289</v>
      </c>
      <c r="E639">
        <v>9</v>
      </c>
      <c r="F639">
        <v>27</v>
      </c>
      <c r="G639">
        <v>243</v>
      </c>
      <c r="H639" t="s">
        <v>1315</v>
      </c>
    </row>
    <row r="640" spans="1:8" x14ac:dyDescent="0.3">
      <c r="A640" t="s">
        <v>646</v>
      </c>
      <c r="B640" t="s">
        <v>1231</v>
      </c>
      <c r="C640" t="s">
        <v>1279</v>
      </c>
      <c r="D640" t="s">
        <v>1289</v>
      </c>
      <c r="E640">
        <v>7</v>
      </c>
      <c r="F640">
        <v>896</v>
      </c>
      <c r="G640">
        <v>6272</v>
      </c>
      <c r="H640" t="s">
        <v>1316</v>
      </c>
    </row>
    <row r="641" spans="1:8" x14ac:dyDescent="0.3">
      <c r="A641" t="s">
        <v>647</v>
      </c>
      <c r="B641" t="s">
        <v>1047</v>
      </c>
      <c r="C641" t="s">
        <v>1280</v>
      </c>
      <c r="D641" t="s">
        <v>1290</v>
      </c>
      <c r="E641">
        <v>9</v>
      </c>
      <c r="F641">
        <v>714</v>
      </c>
      <c r="G641">
        <v>6426</v>
      </c>
      <c r="H641" t="s">
        <v>1316</v>
      </c>
    </row>
    <row r="642" spans="1:8" x14ac:dyDescent="0.3">
      <c r="A642" t="s">
        <v>648</v>
      </c>
      <c r="B642" t="s">
        <v>1133</v>
      </c>
      <c r="C642" t="s">
        <v>1273</v>
      </c>
      <c r="D642" t="s">
        <v>1289</v>
      </c>
      <c r="E642">
        <v>1</v>
      </c>
      <c r="F642">
        <v>616</v>
      </c>
      <c r="G642">
        <v>616</v>
      </c>
      <c r="H642" t="s">
        <v>1314</v>
      </c>
    </row>
    <row r="643" spans="1:8" x14ac:dyDescent="0.3">
      <c r="A643" t="s">
        <v>649</v>
      </c>
      <c r="B643" t="s">
        <v>1096</v>
      </c>
      <c r="C643" t="s">
        <v>1281</v>
      </c>
      <c r="D643" t="s">
        <v>1289</v>
      </c>
      <c r="E643">
        <v>4</v>
      </c>
      <c r="F643">
        <v>55</v>
      </c>
      <c r="G643">
        <v>220</v>
      </c>
      <c r="H643" t="s">
        <v>1316</v>
      </c>
    </row>
    <row r="644" spans="1:8" x14ac:dyDescent="0.3">
      <c r="A644" t="s">
        <v>650</v>
      </c>
      <c r="B644" t="s">
        <v>1008</v>
      </c>
      <c r="C644" t="s">
        <v>1277</v>
      </c>
      <c r="D644" t="s">
        <v>1289</v>
      </c>
      <c r="E644">
        <v>9</v>
      </c>
      <c r="F644">
        <v>800</v>
      </c>
      <c r="G644">
        <v>7200</v>
      </c>
      <c r="H644" t="s">
        <v>1316</v>
      </c>
    </row>
    <row r="645" spans="1:8" x14ac:dyDescent="0.3">
      <c r="A645" t="s">
        <v>651</v>
      </c>
      <c r="B645" t="s">
        <v>1038</v>
      </c>
      <c r="C645" t="s">
        <v>1275</v>
      </c>
      <c r="D645" t="s">
        <v>1289</v>
      </c>
      <c r="E645">
        <v>2</v>
      </c>
      <c r="F645">
        <v>670</v>
      </c>
      <c r="G645">
        <v>1340</v>
      </c>
      <c r="H645" t="s">
        <v>1313</v>
      </c>
    </row>
    <row r="646" spans="1:8" x14ac:dyDescent="0.3">
      <c r="A646" t="s">
        <v>652</v>
      </c>
      <c r="B646" t="s">
        <v>1142</v>
      </c>
      <c r="C646" t="s">
        <v>1281</v>
      </c>
      <c r="D646" t="s">
        <v>1289</v>
      </c>
      <c r="E646">
        <v>2</v>
      </c>
      <c r="F646">
        <v>332</v>
      </c>
      <c r="G646">
        <v>664</v>
      </c>
      <c r="H646" t="s">
        <v>1313</v>
      </c>
    </row>
    <row r="647" spans="1:8" x14ac:dyDescent="0.3">
      <c r="A647" t="s">
        <v>653</v>
      </c>
      <c r="B647" t="s">
        <v>1232</v>
      </c>
      <c r="C647" t="s">
        <v>1279</v>
      </c>
      <c r="D647" t="s">
        <v>1291</v>
      </c>
      <c r="E647">
        <v>9</v>
      </c>
      <c r="F647">
        <v>349</v>
      </c>
      <c r="G647">
        <v>3141</v>
      </c>
      <c r="H647" t="s">
        <v>1314</v>
      </c>
    </row>
    <row r="648" spans="1:8" x14ac:dyDescent="0.3">
      <c r="A648" t="s">
        <v>654</v>
      </c>
      <c r="B648" t="s">
        <v>1130</v>
      </c>
      <c r="C648" t="s">
        <v>1277</v>
      </c>
      <c r="D648" t="s">
        <v>1289</v>
      </c>
      <c r="E648">
        <v>7</v>
      </c>
      <c r="F648">
        <v>762</v>
      </c>
      <c r="G648">
        <v>5334</v>
      </c>
      <c r="H648" t="s">
        <v>1314</v>
      </c>
    </row>
    <row r="649" spans="1:8" x14ac:dyDescent="0.3">
      <c r="A649" t="s">
        <v>655</v>
      </c>
      <c r="B649" t="s">
        <v>1233</v>
      </c>
      <c r="C649" t="s">
        <v>1274</v>
      </c>
      <c r="D649" t="s">
        <v>1290</v>
      </c>
      <c r="E649">
        <v>2</v>
      </c>
      <c r="F649">
        <v>459</v>
      </c>
      <c r="G649">
        <v>918</v>
      </c>
      <c r="H649" t="s">
        <v>1316</v>
      </c>
    </row>
    <row r="650" spans="1:8" x14ac:dyDescent="0.3">
      <c r="A650" t="s">
        <v>656</v>
      </c>
      <c r="B650" t="s">
        <v>1117</v>
      </c>
      <c r="C650" t="s">
        <v>1276</v>
      </c>
      <c r="D650" t="s">
        <v>1290</v>
      </c>
      <c r="E650">
        <v>5</v>
      </c>
      <c r="F650">
        <v>697</v>
      </c>
      <c r="G650">
        <v>3485</v>
      </c>
      <c r="H650" t="s">
        <v>1313</v>
      </c>
    </row>
    <row r="651" spans="1:8" x14ac:dyDescent="0.3">
      <c r="A651" t="s">
        <v>657</v>
      </c>
      <c r="B651" t="s">
        <v>1234</v>
      </c>
      <c r="C651" t="s">
        <v>1273</v>
      </c>
      <c r="D651" t="s">
        <v>1289</v>
      </c>
      <c r="E651">
        <v>1</v>
      </c>
      <c r="F651">
        <v>739</v>
      </c>
      <c r="G651">
        <v>739</v>
      </c>
      <c r="H651" t="s">
        <v>1314</v>
      </c>
    </row>
    <row r="652" spans="1:8" x14ac:dyDescent="0.3">
      <c r="A652" t="s">
        <v>658</v>
      </c>
      <c r="B652" t="s">
        <v>1235</v>
      </c>
      <c r="C652" t="s">
        <v>1279</v>
      </c>
      <c r="D652" t="s">
        <v>1289</v>
      </c>
      <c r="E652">
        <v>8</v>
      </c>
      <c r="F652">
        <v>370</v>
      </c>
      <c r="G652">
        <v>2960</v>
      </c>
      <c r="H652" t="s">
        <v>1315</v>
      </c>
    </row>
    <row r="653" spans="1:8" x14ac:dyDescent="0.3">
      <c r="A653" t="s">
        <v>659</v>
      </c>
      <c r="B653" t="s">
        <v>1222</v>
      </c>
      <c r="C653" t="s">
        <v>1279</v>
      </c>
      <c r="D653" t="s">
        <v>1289</v>
      </c>
      <c r="E653">
        <v>6</v>
      </c>
      <c r="F653">
        <v>144</v>
      </c>
      <c r="G653">
        <v>864</v>
      </c>
      <c r="H653" t="s">
        <v>1314</v>
      </c>
    </row>
    <row r="654" spans="1:8" x14ac:dyDescent="0.3">
      <c r="A654" t="s">
        <v>660</v>
      </c>
      <c r="B654" t="s">
        <v>1026</v>
      </c>
      <c r="C654" t="s">
        <v>1276</v>
      </c>
      <c r="D654" t="s">
        <v>1290</v>
      </c>
      <c r="E654">
        <v>6</v>
      </c>
      <c r="F654">
        <v>841</v>
      </c>
      <c r="G654">
        <v>5046</v>
      </c>
      <c r="H654" t="s">
        <v>1315</v>
      </c>
    </row>
    <row r="655" spans="1:8" x14ac:dyDescent="0.3">
      <c r="A655" t="s">
        <v>661</v>
      </c>
      <c r="B655" t="s">
        <v>1192</v>
      </c>
      <c r="C655" t="s">
        <v>1273</v>
      </c>
      <c r="D655" t="s">
        <v>1289</v>
      </c>
      <c r="E655">
        <v>5</v>
      </c>
      <c r="F655">
        <v>744</v>
      </c>
      <c r="G655">
        <v>3720</v>
      </c>
      <c r="H655" t="s">
        <v>1314</v>
      </c>
    </row>
    <row r="656" spans="1:8" x14ac:dyDescent="0.3">
      <c r="A656" t="s">
        <v>662</v>
      </c>
      <c r="B656" t="s">
        <v>1205</v>
      </c>
      <c r="C656" t="s">
        <v>1282</v>
      </c>
      <c r="D656" t="s">
        <v>1290</v>
      </c>
      <c r="E656">
        <v>8</v>
      </c>
      <c r="F656">
        <v>538</v>
      </c>
      <c r="G656">
        <v>4304</v>
      </c>
      <c r="H656" t="s">
        <v>1314</v>
      </c>
    </row>
    <row r="657" spans="1:8" x14ac:dyDescent="0.3">
      <c r="A657" t="s">
        <v>663</v>
      </c>
      <c r="B657" t="s">
        <v>1022</v>
      </c>
      <c r="C657" t="s">
        <v>1282</v>
      </c>
      <c r="D657" t="s">
        <v>1290</v>
      </c>
      <c r="E657">
        <v>10</v>
      </c>
      <c r="F657">
        <v>185</v>
      </c>
      <c r="G657">
        <v>1850</v>
      </c>
      <c r="H657" t="s">
        <v>1313</v>
      </c>
    </row>
    <row r="658" spans="1:8" x14ac:dyDescent="0.3">
      <c r="A658" t="s">
        <v>664</v>
      </c>
      <c r="B658" t="s">
        <v>960</v>
      </c>
      <c r="C658" t="s">
        <v>1277</v>
      </c>
      <c r="D658" t="s">
        <v>1291</v>
      </c>
      <c r="E658">
        <v>2</v>
      </c>
      <c r="F658">
        <v>602</v>
      </c>
      <c r="G658">
        <v>1204</v>
      </c>
      <c r="H658" t="s">
        <v>1314</v>
      </c>
    </row>
    <row r="659" spans="1:8" x14ac:dyDescent="0.3">
      <c r="A659" t="s">
        <v>665</v>
      </c>
      <c r="B659" t="s">
        <v>1217</v>
      </c>
      <c r="C659" t="s">
        <v>1274</v>
      </c>
      <c r="D659" t="s">
        <v>1290</v>
      </c>
      <c r="E659">
        <v>9</v>
      </c>
      <c r="F659">
        <v>17</v>
      </c>
      <c r="G659">
        <v>153</v>
      </c>
      <c r="H659" t="s">
        <v>1314</v>
      </c>
    </row>
    <row r="660" spans="1:8" x14ac:dyDescent="0.3">
      <c r="A660" t="s">
        <v>666</v>
      </c>
      <c r="B660" t="s">
        <v>1122</v>
      </c>
      <c r="C660" t="s">
        <v>1274</v>
      </c>
      <c r="D660" t="s">
        <v>1290</v>
      </c>
      <c r="E660">
        <v>1</v>
      </c>
      <c r="F660">
        <v>498</v>
      </c>
      <c r="G660">
        <v>498</v>
      </c>
      <c r="H660" t="s">
        <v>1316</v>
      </c>
    </row>
    <row r="661" spans="1:8" x14ac:dyDescent="0.3">
      <c r="A661" t="s">
        <v>667</v>
      </c>
      <c r="B661" t="s">
        <v>1069</v>
      </c>
      <c r="C661" t="s">
        <v>1279</v>
      </c>
      <c r="D661" t="s">
        <v>1289</v>
      </c>
      <c r="E661">
        <v>3</v>
      </c>
      <c r="F661">
        <v>893</v>
      </c>
      <c r="G661">
        <v>2679</v>
      </c>
      <c r="H661" t="s">
        <v>1316</v>
      </c>
    </row>
    <row r="662" spans="1:8" x14ac:dyDescent="0.3">
      <c r="A662" t="s">
        <v>668</v>
      </c>
      <c r="B662" t="s">
        <v>1132</v>
      </c>
      <c r="C662" t="s">
        <v>1274</v>
      </c>
      <c r="D662" t="s">
        <v>1290</v>
      </c>
      <c r="E662">
        <v>0</v>
      </c>
      <c r="F662">
        <v>269</v>
      </c>
      <c r="G662">
        <v>1614</v>
      </c>
      <c r="H662" t="s">
        <v>1315</v>
      </c>
    </row>
    <row r="663" spans="1:8" x14ac:dyDescent="0.3">
      <c r="A663" t="s">
        <v>669</v>
      </c>
      <c r="B663" t="s">
        <v>1236</v>
      </c>
      <c r="C663" t="s">
        <v>1277</v>
      </c>
      <c r="D663" t="s">
        <v>1289</v>
      </c>
      <c r="E663">
        <v>2</v>
      </c>
      <c r="F663">
        <v>600</v>
      </c>
      <c r="H663" t="s">
        <v>1314</v>
      </c>
    </row>
    <row r="664" spans="1:8" x14ac:dyDescent="0.3">
      <c r="A664" t="s">
        <v>670</v>
      </c>
      <c r="B664" t="s">
        <v>1152</v>
      </c>
      <c r="C664" t="s">
        <v>1285</v>
      </c>
      <c r="D664" t="s">
        <v>1290</v>
      </c>
      <c r="E664">
        <v>3</v>
      </c>
      <c r="F664">
        <v>243</v>
      </c>
      <c r="G664">
        <v>729</v>
      </c>
      <c r="H664" t="s">
        <v>1314</v>
      </c>
    </row>
    <row r="665" spans="1:8" x14ac:dyDescent="0.3">
      <c r="A665" t="s">
        <v>671</v>
      </c>
      <c r="B665" t="s">
        <v>1237</v>
      </c>
      <c r="C665" t="s">
        <v>1275</v>
      </c>
      <c r="D665" t="s">
        <v>1289</v>
      </c>
      <c r="E665">
        <v>2</v>
      </c>
      <c r="F665">
        <v>491</v>
      </c>
      <c r="G665">
        <v>982</v>
      </c>
      <c r="H665" t="s">
        <v>1315</v>
      </c>
    </row>
    <row r="666" spans="1:8" x14ac:dyDescent="0.3">
      <c r="A666" t="s">
        <v>672</v>
      </c>
      <c r="B666" t="s">
        <v>1181</v>
      </c>
      <c r="C666" t="s">
        <v>1280</v>
      </c>
      <c r="D666" t="s">
        <v>1290</v>
      </c>
      <c r="E666">
        <v>2</v>
      </c>
      <c r="F666">
        <v>581</v>
      </c>
      <c r="G666">
        <v>1162</v>
      </c>
      <c r="H666" t="s">
        <v>1314</v>
      </c>
    </row>
    <row r="667" spans="1:8" x14ac:dyDescent="0.3">
      <c r="A667" t="s">
        <v>673</v>
      </c>
      <c r="B667" t="s">
        <v>1044</v>
      </c>
      <c r="C667" t="s">
        <v>1280</v>
      </c>
      <c r="D667" t="s">
        <v>1290</v>
      </c>
      <c r="E667">
        <v>4</v>
      </c>
      <c r="F667">
        <v>313</v>
      </c>
      <c r="G667">
        <v>1252</v>
      </c>
      <c r="H667" t="s">
        <v>1315</v>
      </c>
    </row>
    <row r="668" spans="1:8" x14ac:dyDescent="0.3">
      <c r="A668" t="s">
        <v>674</v>
      </c>
      <c r="B668" t="s">
        <v>1238</v>
      </c>
      <c r="C668" t="s">
        <v>1274</v>
      </c>
      <c r="D668" t="s">
        <v>1290</v>
      </c>
      <c r="E668">
        <v>8</v>
      </c>
      <c r="F668">
        <v>392</v>
      </c>
      <c r="G668">
        <v>3136</v>
      </c>
      <c r="H668" t="s">
        <v>1316</v>
      </c>
    </row>
    <row r="669" spans="1:8" x14ac:dyDescent="0.3">
      <c r="A669" t="s">
        <v>675</v>
      </c>
      <c r="B669" t="s">
        <v>1158</v>
      </c>
      <c r="C669" t="s">
        <v>1283</v>
      </c>
      <c r="D669" t="s">
        <v>1290</v>
      </c>
      <c r="E669">
        <v>9</v>
      </c>
      <c r="F669">
        <v>793</v>
      </c>
      <c r="G669">
        <v>7137</v>
      </c>
      <c r="H669" t="s">
        <v>1313</v>
      </c>
    </row>
    <row r="670" spans="1:8" x14ac:dyDescent="0.3">
      <c r="A670" t="s">
        <v>676</v>
      </c>
      <c r="B670" t="s">
        <v>919</v>
      </c>
      <c r="C670" t="s">
        <v>1276</v>
      </c>
      <c r="D670" t="s">
        <v>1290</v>
      </c>
      <c r="E670">
        <v>7</v>
      </c>
      <c r="F670">
        <v>39</v>
      </c>
      <c r="G670">
        <v>273</v>
      </c>
      <c r="H670" t="s">
        <v>1315</v>
      </c>
    </row>
    <row r="671" spans="1:8" x14ac:dyDescent="0.3">
      <c r="A671" t="s">
        <v>677</v>
      </c>
      <c r="B671" t="s">
        <v>1117</v>
      </c>
      <c r="C671" t="s">
        <v>1276</v>
      </c>
      <c r="D671" t="s">
        <v>1290</v>
      </c>
      <c r="E671">
        <v>6</v>
      </c>
      <c r="F671">
        <v>16</v>
      </c>
      <c r="G671">
        <v>96</v>
      </c>
      <c r="H671" t="s">
        <v>1316</v>
      </c>
    </row>
    <row r="672" spans="1:8" x14ac:dyDescent="0.3">
      <c r="A672" t="s">
        <v>678</v>
      </c>
      <c r="B672" t="s">
        <v>1001</v>
      </c>
      <c r="C672" t="s">
        <v>1277</v>
      </c>
      <c r="D672" t="s">
        <v>1289</v>
      </c>
      <c r="E672">
        <v>2</v>
      </c>
      <c r="F672">
        <v>225</v>
      </c>
      <c r="G672">
        <v>450</v>
      </c>
      <c r="H672" t="s">
        <v>1313</v>
      </c>
    </row>
    <row r="673" spans="1:8" x14ac:dyDescent="0.3">
      <c r="A673" t="s">
        <v>679</v>
      </c>
      <c r="B673" t="s">
        <v>1050</v>
      </c>
      <c r="C673" t="s">
        <v>1275</v>
      </c>
      <c r="D673" t="s">
        <v>1289</v>
      </c>
      <c r="E673">
        <v>8</v>
      </c>
      <c r="F673" t="s">
        <v>1310</v>
      </c>
      <c r="G673">
        <v>608</v>
      </c>
      <c r="H673" t="s">
        <v>1315</v>
      </c>
    </row>
    <row r="674" spans="1:8" x14ac:dyDescent="0.3">
      <c r="A674" t="s">
        <v>680</v>
      </c>
      <c r="B674" t="s">
        <v>1180</v>
      </c>
      <c r="C674" t="s">
        <v>1273</v>
      </c>
      <c r="D674" t="s">
        <v>1289</v>
      </c>
      <c r="E674">
        <v>1</v>
      </c>
      <c r="F674">
        <v>252</v>
      </c>
      <c r="G674">
        <v>252</v>
      </c>
      <c r="H674" t="s">
        <v>1316</v>
      </c>
    </row>
    <row r="675" spans="1:8" x14ac:dyDescent="0.3">
      <c r="A675" t="s">
        <v>681</v>
      </c>
      <c r="B675" t="s">
        <v>995</v>
      </c>
      <c r="C675" t="s">
        <v>1280</v>
      </c>
      <c r="D675" t="s">
        <v>1290</v>
      </c>
      <c r="E675">
        <v>8</v>
      </c>
      <c r="F675">
        <v>780</v>
      </c>
      <c r="G675">
        <v>6240</v>
      </c>
      <c r="H675" t="s">
        <v>1314</v>
      </c>
    </row>
    <row r="676" spans="1:8" x14ac:dyDescent="0.3">
      <c r="A676" t="s">
        <v>682</v>
      </c>
      <c r="B676" t="s">
        <v>1029</v>
      </c>
      <c r="C676" t="s">
        <v>1279</v>
      </c>
      <c r="D676" t="s">
        <v>1289</v>
      </c>
      <c r="E676">
        <v>7</v>
      </c>
      <c r="F676">
        <v>91</v>
      </c>
      <c r="G676">
        <v>637</v>
      </c>
      <c r="H676" t="s">
        <v>1314</v>
      </c>
    </row>
    <row r="677" spans="1:8" x14ac:dyDescent="0.3">
      <c r="A677" t="s">
        <v>683</v>
      </c>
      <c r="B677" t="s">
        <v>1059</v>
      </c>
      <c r="C677" t="s">
        <v>1275</v>
      </c>
      <c r="D677" t="s">
        <v>1289</v>
      </c>
      <c r="E677">
        <v>3</v>
      </c>
      <c r="F677">
        <v>257</v>
      </c>
      <c r="G677">
        <v>771</v>
      </c>
      <c r="H677" t="s">
        <v>1319</v>
      </c>
    </row>
    <row r="678" spans="1:8" x14ac:dyDescent="0.3">
      <c r="A678" t="s">
        <v>684</v>
      </c>
      <c r="B678" t="s">
        <v>1239</v>
      </c>
      <c r="C678" t="s">
        <v>1280</v>
      </c>
      <c r="D678" t="s">
        <v>1290</v>
      </c>
      <c r="E678">
        <v>7</v>
      </c>
      <c r="F678">
        <v>732</v>
      </c>
      <c r="G678">
        <v>5124</v>
      </c>
      <c r="H678" t="s">
        <v>1315</v>
      </c>
    </row>
    <row r="679" spans="1:8" x14ac:dyDescent="0.3">
      <c r="A679" t="s">
        <v>685</v>
      </c>
      <c r="B679" t="s">
        <v>1203</v>
      </c>
      <c r="C679" t="s">
        <v>1282</v>
      </c>
      <c r="D679" t="s">
        <v>1290</v>
      </c>
      <c r="E679">
        <v>5</v>
      </c>
      <c r="F679">
        <v>254</v>
      </c>
      <c r="G679">
        <v>1270</v>
      </c>
      <c r="H679" t="s">
        <v>1313</v>
      </c>
    </row>
    <row r="680" spans="1:8" x14ac:dyDescent="0.3">
      <c r="A680" t="s">
        <v>686</v>
      </c>
      <c r="B680" t="s">
        <v>1120</v>
      </c>
      <c r="C680" t="s">
        <v>1279</v>
      </c>
      <c r="D680" t="s">
        <v>1289</v>
      </c>
      <c r="E680">
        <v>10</v>
      </c>
      <c r="F680">
        <v>126</v>
      </c>
      <c r="G680">
        <v>1260</v>
      </c>
      <c r="H680" t="s">
        <v>1314</v>
      </c>
    </row>
    <row r="681" spans="1:8" x14ac:dyDescent="0.3">
      <c r="A681" t="s">
        <v>687</v>
      </c>
      <c r="B681" t="s">
        <v>962</v>
      </c>
      <c r="C681" t="s">
        <v>1279</v>
      </c>
      <c r="D681" t="s">
        <v>1289</v>
      </c>
      <c r="E681">
        <v>8</v>
      </c>
      <c r="F681">
        <v>492</v>
      </c>
      <c r="G681">
        <v>3936</v>
      </c>
      <c r="H681" t="s">
        <v>1316</v>
      </c>
    </row>
    <row r="682" spans="1:8" x14ac:dyDescent="0.3">
      <c r="A682" t="s">
        <v>688</v>
      </c>
      <c r="B682" t="s">
        <v>1240</v>
      </c>
      <c r="C682" t="s">
        <v>1273</v>
      </c>
      <c r="D682" t="s">
        <v>1289</v>
      </c>
      <c r="E682">
        <v>9</v>
      </c>
      <c r="F682">
        <v>381</v>
      </c>
      <c r="G682">
        <v>3429</v>
      </c>
      <c r="H682" t="s">
        <v>1316</v>
      </c>
    </row>
    <row r="683" spans="1:8" x14ac:dyDescent="0.3">
      <c r="A683" t="s">
        <v>689</v>
      </c>
      <c r="B683" t="s">
        <v>942</v>
      </c>
      <c r="C683" t="s">
        <v>1277</v>
      </c>
      <c r="D683" t="s">
        <v>1289</v>
      </c>
      <c r="E683">
        <v>8</v>
      </c>
      <c r="F683">
        <v>286</v>
      </c>
      <c r="G683">
        <v>2288</v>
      </c>
      <c r="H683" t="s">
        <v>1314</v>
      </c>
    </row>
    <row r="684" spans="1:8" x14ac:dyDescent="0.3">
      <c r="A684" t="s">
        <v>690</v>
      </c>
      <c r="B684" t="s">
        <v>1173</v>
      </c>
      <c r="C684" t="s">
        <v>1279</v>
      </c>
      <c r="D684" t="s">
        <v>1289</v>
      </c>
      <c r="E684">
        <v>5</v>
      </c>
      <c r="F684">
        <v>861</v>
      </c>
      <c r="G684">
        <v>4305</v>
      </c>
      <c r="H684" t="s">
        <v>1314</v>
      </c>
    </row>
    <row r="685" spans="1:8" x14ac:dyDescent="0.3">
      <c r="A685" t="s">
        <v>691</v>
      </c>
      <c r="B685" t="s">
        <v>929</v>
      </c>
      <c r="C685" t="s">
        <v>1274</v>
      </c>
      <c r="D685" t="s">
        <v>1290</v>
      </c>
      <c r="E685">
        <v>6</v>
      </c>
      <c r="F685">
        <v>166</v>
      </c>
      <c r="G685">
        <v>996</v>
      </c>
      <c r="H685" t="s">
        <v>1313</v>
      </c>
    </row>
    <row r="686" spans="1:8" x14ac:dyDescent="0.3">
      <c r="A686" t="s">
        <v>692</v>
      </c>
      <c r="B686" t="s">
        <v>1241</v>
      </c>
      <c r="C686" t="s">
        <v>1280</v>
      </c>
      <c r="D686" t="s">
        <v>1290</v>
      </c>
      <c r="E686">
        <v>7</v>
      </c>
      <c r="F686">
        <v>540</v>
      </c>
      <c r="G686">
        <v>3780</v>
      </c>
      <c r="H686" t="s">
        <v>1315</v>
      </c>
    </row>
    <row r="687" spans="1:8" x14ac:dyDescent="0.3">
      <c r="A687" t="s">
        <v>693</v>
      </c>
      <c r="B687" t="s">
        <v>1242</v>
      </c>
      <c r="C687" t="s">
        <v>1277</v>
      </c>
      <c r="D687" t="s">
        <v>1289</v>
      </c>
      <c r="E687">
        <v>3</v>
      </c>
      <c r="F687">
        <v>46</v>
      </c>
      <c r="G687">
        <v>138</v>
      </c>
      <c r="H687" t="s">
        <v>1316</v>
      </c>
    </row>
    <row r="688" spans="1:8" x14ac:dyDescent="0.3">
      <c r="A688" t="s">
        <v>694</v>
      </c>
      <c r="B688" t="s">
        <v>909</v>
      </c>
      <c r="C688" t="s">
        <v>1283</v>
      </c>
      <c r="D688" t="s">
        <v>1290</v>
      </c>
      <c r="E688">
        <v>2</v>
      </c>
      <c r="F688">
        <v>488</v>
      </c>
      <c r="G688">
        <v>976</v>
      </c>
      <c r="H688" t="s">
        <v>1313</v>
      </c>
    </row>
    <row r="689" spans="1:8" x14ac:dyDescent="0.3">
      <c r="A689" t="s">
        <v>695</v>
      </c>
      <c r="B689" t="s">
        <v>1243</v>
      </c>
      <c r="C689" t="s">
        <v>1273</v>
      </c>
      <c r="D689" t="s">
        <v>1289</v>
      </c>
      <c r="E689">
        <v>0</v>
      </c>
      <c r="F689" t="s">
        <v>1311</v>
      </c>
      <c r="G689">
        <v>78</v>
      </c>
      <c r="H689" t="s">
        <v>1313</v>
      </c>
    </row>
    <row r="690" spans="1:8" x14ac:dyDescent="0.3">
      <c r="A690" t="s">
        <v>696</v>
      </c>
      <c r="B690" t="s">
        <v>971</v>
      </c>
      <c r="C690" t="s">
        <v>1274</v>
      </c>
      <c r="D690" t="s">
        <v>1290</v>
      </c>
      <c r="E690">
        <v>7</v>
      </c>
      <c r="F690">
        <v>396</v>
      </c>
      <c r="G690">
        <v>2772</v>
      </c>
      <c r="H690" t="s">
        <v>1314</v>
      </c>
    </row>
    <row r="691" spans="1:8" x14ac:dyDescent="0.3">
      <c r="A691" t="s">
        <v>697</v>
      </c>
      <c r="B691" t="s">
        <v>1148</v>
      </c>
      <c r="C691" t="s">
        <v>1277</v>
      </c>
      <c r="D691" t="s">
        <v>1291</v>
      </c>
      <c r="E691">
        <v>2</v>
      </c>
      <c r="F691">
        <v>37</v>
      </c>
      <c r="G691">
        <v>74</v>
      </c>
      <c r="H691" t="s">
        <v>1313</v>
      </c>
    </row>
    <row r="692" spans="1:8" x14ac:dyDescent="0.3">
      <c r="A692" t="s">
        <v>698</v>
      </c>
      <c r="B692" t="s">
        <v>945</v>
      </c>
      <c r="C692" t="s">
        <v>1282</v>
      </c>
      <c r="D692" t="s">
        <v>1290</v>
      </c>
      <c r="E692">
        <v>3</v>
      </c>
      <c r="F692">
        <v>109</v>
      </c>
      <c r="G692">
        <v>327</v>
      </c>
      <c r="H692" t="s">
        <v>1314</v>
      </c>
    </row>
    <row r="693" spans="1:8" x14ac:dyDescent="0.3">
      <c r="A693" t="s">
        <v>699</v>
      </c>
      <c r="B693" t="s">
        <v>1244</v>
      </c>
      <c r="C693" t="s">
        <v>1276</v>
      </c>
      <c r="D693" t="s">
        <v>1290</v>
      </c>
      <c r="E693">
        <v>8</v>
      </c>
      <c r="F693">
        <v>66</v>
      </c>
      <c r="G693">
        <v>528</v>
      </c>
      <c r="H693" t="s">
        <v>1316</v>
      </c>
    </row>
    <row r="694" spans="1:8" x14ac:dyDescent="0.3">
      <c r="A694" t="s">
        <v>700</v>
      </c>
      <c r="B694" t="s">
        <v>1064</v>
      </c>
      <c r="C694" t="s">
        <v>1275</v>
      </c>
      <c r="D694" t="s">
        <v>1289</v>
      </c>
      <c r="E694">
        <v>8</v>
      </c>
      <c r="F694">
        <v>45</v>
      </c>
      <c r="G694">
        <v>360</v>
      </c>
      <c r="H694" t="s">
        <v>1316</v>
      </c>
    </row>
    <row r="695" spans="1:8" x14ac:dyDescent="0.3">
      <c r="A695" t="s">
        <v>701</v>
      </c>
      <c r="B695" t="s">
        <v>1245</v>
      </c>
      <c r="C695" t="s">
        <v>1279</v>
      </c>
      <c r="D695" t="s">
        <v>1289</v>
      </c>
      <c r="E695">
        <v>6</v>
      </c>
      <c r="F695">
        <v>234</v>
      </c>
      <c r="G695">
        <v>1404</v>
      </c>
      <c r="H695" t="s">
        <v>1315</v>
      </c>
    </row>
    <row r="696" spans="1:8" x14ac:dyDescent="0.3">
      <c r="A696" t="s">
        <v>702</v>
      </c>
      <c r="B696" t="s">
        <v>1246</v>
      </c>
      <c r="C696" t="s">
        <v>1277</v>
      </c>
      <c r="D696" t="s">
        <v>1289</v>
      </c>
      <c r="E696">
        <v>8</v>
      </c>
      <c r="F696">
        <v>167</v>
      </c>
      <c r="G696">
        <v>1336</v>
      </c>
      <c r="H696" t="s">
        <v>1313</v>
      </c>
    </row>
    <row r="697" spans="1:8" x14ac:dyDescent="0.3">
      <c r="A697" t="s">
        <v>703</v>
      </c>
      <c r="B697" t="s">
        <v>953</v>
      </c>
      <c r="C697" t="s">
        <v>1277</v>
      </c>
      <c r="D697" t="s">
        <v>1289</v>
      </c>
      <c r="E697">
        <v>8</v>
      </c>
      <c r="F697">
        <v>436</v>
      </c>
      <c r="G697">
        <v>3488</v>
      </c>
      <c r="H697" t="s">
        <v>1316</v>
      </c>
    </row>
    <row r="698" spans="1:8" x14ac:dyDescent="0.3">
      <c r="A698" t="s">
        <v>704</v>
      </c>
      <c r="B698" t="s">
        <v>1178</v>
      </c>
      <c r="C698" t="s">
        <v>1276</v>
      </c>
      <c r="D698" t="s">
        <v>1290</v>
      </c>
      <c r="E698">
        <v>2</v>
      </c>
      <c r="F698">
        <v>301</v>
      </c>
      <c r="G698">
        <v>602</v>
      </c>
      <c r="H698" t="s">
        <v>1313</v>
      </c>
    </row>
    <row r="699" spans="1:8" x14ac:dyDescent="0.3">
      <c r="A699" t="s">
        <v>705</v>
      </c>
      <c r="B699" t="s">
        <v>1066</v>
      </c>
      <c r="C699" t="s">
        <v>1275</v>
      </c>
      <c r="D699" t="s">
        <v>1289</v>
      </c>
      <c r="E699">
        <v>4</v>
      </c>
      <c r="F699">
        <v>673</v>
      </c>
      <c r="G699">
        <v>2692</v>
      </c>
      <c r="H699" t="s">
        <v>1313</v>
      </c>
    </row>
    <row r="700" spans="1:8" x14ac:dyDescent="0.3">
      <c r="A700" t="s">
        <v>706</v>
      </c>
      <c r="B700" t="s">
        <v>915</v>
      </c>
      <c r="C700" t="s">
        <v>1285</v>
      </c>
      <c r="D700" t="s">
        <v>1290</v>
      </c>
      <c r="E700">
        <v>7</v>
      </c>
      <c r="F700">
        <v>815</v>
      </c>
      <c r="G700">
        <v>5705</v>
      </c>
      <c r="H700" t="s">
        <v>1316</v>
      </c>
    </row>
    <row r="701" spans="1:8" x14ac:dyDescent="0.3">
      <c r="A701" t="s">
        <v>707</v>
      </c>
      <c r="B701" t="s">
        <v>1191</v>
      </c>
      <c r="C701" t="s">
        <v>1282</v>
      </c>
      <c r="D701" t="s">
        <v>1290</v>
      </c>
      <c r="E701">
        <v>6</v>
      </c>
      <c r="F701">
        <v>594</v>
      </c>
      <c r="G701">
        <v>3564</v>
      </c>
      <c r="H701" t="s">
        <v>1315</v>
      </c>
    </row>
    <row r="702" spans="1:8" x14ac:dyDescent="0.3">
      <c r="A702" t="s">
        <v>708</v>
      </c>
      <c r="B702" t="s">
        <v>911</v>
      </c>
      <c r="C702" t="s">
        <v>1275</v>
      </c>
      <c r="D702" t="s">
        <v>1289</v>
      </c>
      <c r="E702">
        <v>5</v>
      </c>
      <c r="F702">
        <v>199</v>
      </c>
      <c r="G702">
        <v>995</v>
      </c>
      <c r="H702" t="s">
        <v>1315</v>
      </c>
    </row>
    <row r="703" spans="1:8" x14ac:dyDescent="0.3">
      <c r="A703" t="s">
        <v>709</v>
      </c>
      <c r="B703" t="s">
        <v>1247</v>
      </c>
      <c r="C703" t="s">
        <v>1283</v>
      </c>
      <c r="D703" t="s">
        <v>1290</v>
      </c>
      <c r="E703">
        <v>1</v>
      </c>
      <c r="F703">
        <v>845</v>
      </c>
      <c r="G703">
        <v>845</v>
      </c>
      <c r="H703" t="s">
        <v>1314</v>
      </c>
    </row>
    <row r="704" spans="1:8" x14ac:dyDescent="0.3">
      <c r="A704" t="s">
        <v>710</v>
      </c>
      <c r="B704" t="s">
        <v>1248</v>
      </c>
      <c r="C704" t="s">
        <v>1286</v>
      </c>
      <c r="D704" t="s">
        <v>1290</v>
      </c>
      <c r="E704">
        <v>9</v>
      </c>
      <c r="F704">
        <v>381</v>
      </c>
      <c r="G704">
        <v>3429</v>
      </c>
      <c r="H704" t="s">
        <v>1313</v>
      </c>
    </row>
    <row r="705" spans="1:8" x14ac:dyDescent="0.3">
      <c r="A705" t="s">
        <v>711</v>
      </c>
      <c r="B705" t="s">
        <v>1117</v>
      </c>
      <c r="C705" t="s">
        <v>1279</v>
      </c>
      <c r="D705" t="s">
        <v>1289</v>
      </c>
      <c r="E705">
        <v>2</v>
      </c>
      <c r="F705">
        <v>268</v>
      </c>
      <c r="G705">
        <v>536</v>
      </c>
      <c r="H705" t="s">
        <v>1313</v>
      </c>
    </row>
    <row r="706" spans="1:8" x14ac:dyDescent="0.3">
      <c r="A706" t="s">
        <v>712</v>
      </c>
      <c r="B706" t="s">
        <v>1071</v>
      </c>
      <c r="C706" t="s">
        <v>1277</v>
      </c>
      <c r="D706" t="s">
        <v>1289</v>
      </c>
      <c r="E706">
        <v>9</v>
      </c>
      <c r="F706">
        <v>850</v>
      </c>
      <c r="G706">
        <v>7650</v>
      </c>
      <c r="H706" t="s">
        <v>1313</v>
      </c>
    </row>
    <row r="707" spans="1:8" x14ac:dyDescent="0.3">
      <c r="A707" t="s">
        <v>713</v>
      </c>
      <c r="B707" t="s">
        <v>1047</v>
      </c>
      <c r="C707" t="s">
        <v>1275</v>
      </c>
      <c r="D707" t="s">
        <v>1289</v>
      </c>
      <c r="E707">
        <v>6</v>
      </c>
      <c r="F707">
        <v>874</v>
      </c>
      <c r="G707">
        <v>5244</v>
      </c>
      <c r="H707" t="s">
        <v>1313</v>
      </c>
    </row>
    <row r="708" spans="1:8" x14ac:dyDescent="0.3">
      <c r="A708" t="s">
        <v>714</v>
      </c>
      <c r="B708" t="s">
        <v>1063</v>
      </c>
      <c r="C708" t="s">
        <v>1274</v>
      </c>
      <c r="D708" t="s">
        <v>1290</v>
      </c>
      <c r="E708">
        <v>10</v>
      </c>
      <c r="F708">
        <v>340</v>
      </c>
      <c r="G708">
        <v>3400</v>
      </c>
      <c r="H708" t="s">
        <v>1315</v>
      </c>
    </row>
    <row r="709" spans="1:8" x14ac:dyDescent="0.3">
      <c r="A709" t="s">
        <v>715</v>
      </c>
      <c r="B709" t="s">
        <v>1044</v>
      </c>
      <c r="C709" t="s">
        <v>1276</v>
      </c>
      <c r="D709" t="s">
        <v>1290</v>
      </c>
      <c r="E709">
        <v>6</v>
      </c>
      <c r="F709">
        <v>596</v>
      </c>
      <c r="G709">
        <v>3576</v>
      </c>
      <c r="H709" t="s">
        <v>1313</v>
      </c>
    </row>
    <row r="710" spans="1:8" x14ac:dyDescent="0.3">
      <c r="A710" t="s">
        <v>716</v>
      </c>
      <c r="B710" t="s">
        <v>1249</v>
      </c>
      <c r="C710" t="s">
        <v>1274</v>
      </c>
      <c r="D710" t="s">
        <v>1290</v>
      </c>
      <c r="E710">
        <v>8</v>
      </c>
      <c r="F710">
        <v>570</v>
      </c>
      <c r="G710">
        <v>4560</v>
      </c>
      <c r="H710" t="s">
        <v>1313</v>
      </c>
    </row>
    <row r="711" spans="1:8" x14ac:dyDescent="0.3">
      <c r="A711" t="s">
        <v>717</v>
      </c>
      <c r="B711" t="s">
        <v>1071</v>
      </c>
      <c r="C711" t="s">
        <v>1282</v>
      </c>
      <c r="D711" t="s">
        <v>1290</v>
      </c>
      <c r="E711">
        <v>1</v>
      </c>
      <c r="F711">
        <v>107</v>
      </c>
      <c r="G711">
        <v>107</v>
      </c>
      <c r="H711" t="s">
        <v>1313</v>
      </c>
    </row>
    <row r="712" spans="1:8" x14ac:dyDescent="0.3">
      <c r="A712" t="s">
        <v>718</v>
      </c>
      <c r="B712" t="s">
        <v>1043</v>
      </c>
      <c r="C712" t="s">
        <v>1274</v>
      </c>
      <c r="D712" t="s">
        <v>1290</v>
      </c>
      <c r="E712">
        <v>1</v>
      </c>
      <c r="F712">
        <v>554</v>
      </c>
      <c r="G712">
        <v>554</v>
      </c>
      <c r="H712" t="s">
        <v>1320</v>
      </c>
    </row>
    <row r="713" spans="1:8" x14ac:dyDescent="0.3">
      <c r="A713" t="s">
        <v>719</v>
      </c>
      <c r="B713" t="s">
        <v>1102</v>
      </c>
      <c r="C713" t="s">
        <v>1280</v>
      </c>
      <c r="D713" t="s">
        <v>1290</v>
      </c>
      <c r="E713">
        <v>10</v>
      </c>
      <c r="F713">
        <v>221</v>
      </c>
      <c r="G713">
        <v>2210</v>
      </c>
      <c r="H713" t="s">
        <v>1315</v>
      </c>
    </row>
    <row r="714" spans="1:8" x14ac:dyDescent="0.3">
      <c r="A714" t="s">
        <v>720</v>
      </c>
      <c r="B714" t="s">
        <v>1162</v>
      </c>
      <c r="C714" t="s">
        <v>1279</v>
      </c>
      <c r="D714" t="s">
        <v>1289</v>
      </c>
      <c r="E714">
        <v>6</v>
      </c>
      <c r="F714">
        <v>75</v>
      </c>
      <c r="G714">
        <v>450</v>
      </c>
      <c r="H714" t="s">
        <v>1313</v>
      </c>
    </row>
    <row r="715" spans="1:8" x14ac:dyDescent="0.3">
      <c r="A715" t="s">
        <v>721</v>
      </c>
      <c r="B715" t="s">
        <v>1066</v>
      </c>
      <c r="C715" t="s">
        <v>1279</v>
      </c>
      <c r="D715" t="s">
        <v>1289</v>
      </c>
      <c r="E715">
        <v>2</v>
      </c>
      <c r="F715">
        <v>881</v>
      </c>
      <c r="G715">
        <v>1762</v>
      </c>
      <c r="H715" t="s">
        <v>1315</v>
      </c>
    </row>
    <row r="716" spans="1:8" x14ac:dyDescent="0.3">
      <c r="A716" t="s">
        <v>722</v>
      </c>
      <c r="B716" t="s">
        <v>1014</v>
      </c>
      <c r="C716" t="s">
        <v>1273</v>
      </c>
      <c r="D716" t="s">
        <v>1289</v>
      </c>
      <c r="E716">
        <v>6</v>
      </c>
      <c r="F716">
        <v>736</v>
      </c>
      <c r="G716">
        <v>4416</v>
      </c>
      <c r="H716" t="s">
        <v>1316</v>
      </c>
    </row>
    <row r="717" spans="1:8" x14ac:dyDescent="0.3">
      <c r="A717" t="s">
        <v>723</v>
      </c>
      <c r="B717" t="s">
        <v>1224</v>
      </c>
      <c r="C717" t="s">
        <v>1273</v>
      </c>
      <c r="D717" t="s">
        <v>1289</v>
      </c>
      <c r="E717">
        <v>6</v>
      </c>
      <c r="F717">
        <v>324</v>
      </c>
      <c r="G717">
        <v>1944</v>
      </c>
      <c r="H717" t="s">
        <v>1313</v>
      </c>
    </row>
    <row r="718" spans="1:8" x14ac:dyDescent="0.3">
      <c r="A718" t="s">
        <v>724</v>
      </c>
      <c r="B718" t="s">
        <v>934</v>
      </c>
      <c r="C718" t="s">
        <v>1279</v>
      </c>
      <c r="D718" t="s">
        <v>1289</v>
      </c>
      <c r="E718">
        <v>7</v>
      </c>
      <c r="F718">
        <v>825</v>
      </c>
      <c r="G718">
        <v>5775</v>
      </c>
      <c r="H718" t="s">
        <v>1316</v>
      </c>
    </row>
    <row r="719" spans="1:8" x14ac:dyDescent="0.3">
      <c r="A719" t="s">
        <v>725</v>
      </c>
      <c r="B719" t="s">
        <v>1086</v>
      </c>
      <c r="C719" t="s">
        <v>1280</v>
      </c>
      <c r="D719" t="s">
        <v>1292</v>
      </c>
      <c r="E719">
        <v>3</v>
      </c>
      <c r="F719">
        <v>739</v>
      </c>
      <c r="G719">
        <v>2217</v>
      </c>
      <c r="H719" t="s">
        <v>1315</v>
      </c>
    </row>
    <row r="720" spans="1:8" x14ac:dyDescent="0.3">
      <c r="A720" t="s">
        <v>726</v>
      </c>
      <c r="B720" t="s">
        <v>1250</v>
      </c>
      <c r="C720" t="s">
        <v>1274</v>
      </c>
      <c r="D720" t="s">
        <v>1290</v>
      </c>
      <c r="E720">
        <v>10</v>
      </c>
      <c r="F720">
        <v>849</v>
      </c>
      <c r="G720">
        <v>8490</v>
      </c>
      <c r="H720" t="s">
        <v>1316</v>
      </c>
    </row>
    <row r="721" spans="1:8" x14ac:dyDescent="0.3">
      <c r="A721" t="s">
        <v>727</v>
      </c>
      <c r="B721" t="s">
        <v>999</v>
      </c>
      <c r="C721" t="s">
        <v>1281</v>
      </c>
      <c r="D721" t="s">
        <v>1289</v>
      </c>
      <c r="E721">
        <v>5</v>
      </c>
      <c r="F721">
        <v>145</v>
      </c>
      <c r="G721">
        <v>725</v>
      </c>
      <c r="H721" t="s">
        <v>1314</v>
      </c>
    </row>
    <row r="722" spans="1:8" x14ac:dyDescent="0.3">
      <c r="A722" t="s">
        <v>728</v>
      </c>
      <c r="B722" t="s">
        <v>1251</v>
      </c>
      <c r="C722" t="s">
        <v>1275</v>
      </c>
      <c r="D722" t="s">
        <v>1289</v>
      </c>
      <c r="E722">
        <v>10</v>
      </c>
      <c r="F722">
        <v>48</v>
      </c>
      <c r="G722">
        <v>480</v>
      </c>
      <c r="H722" t="s">
        <v>1315</v>
      </c>
    </row>
    <row r="723" spans="1:8" x14ac:dyDescent="0.3">
      <c r="A723" t="s">
        <v>729</v>
      </c>
      <c r="B723" t="s">
        <v>1197</v>
      </c>
      <c r="C723" t="s">
        <v>1274</v>
      </c>
      <c r="D723" t="s">
        <v>1290</v>
      </c>
      <c r="E723">
        <v>10</v>
      </c>
      <c r="F723">
        <v>121</v>
      </c>
      <c r="G723">
        <v>1210</v>
      </c>
      <c r="H723" t="s">
        <v>1313</v>
      </c>
    </row>
    <row r="724" spans="1:8" x14ac:dyDescent="0.3">
      <c r="A724" t="s">
        <v>730</v>
      </c>
      <c r="B724" t="s">
        <v>1188</v>
      </c>
      <c r="C724" t="s">
        <v>1280</v>
      </c>
      <c r="D724" t="s">
        <v>1290</v>
      </c>
      <c r="E724">
        <v>2</v>
      </c>
      <c r="F724">
        <v>258</v>
      </c>
      <c r="G724">
        <v>516</v>
      </c>
      <c r="H724" t="s">
        <v>1315</v>
      </c>
    </row>
    <row r="725" spans="1:8" x14ac:dyDescent="0.3">
      <c r="A725" t="s">
        <v>731</v>
      </c>
      <c r="B725" t="s">
        <v>944</v>
      </c>
      <c r="C725" t="s">
        <v>1279</v>
      </c>
      <c r="D725" t="s">
        <v>1289</v>
      </c>
      <c r="E725">
        <v>2</v>
      </c>
      <c r="F725">
        <v>856</v>
      </c>
      <c r="G725">
        <v>1712</v>
      </c>
      <c r="H725" t="s">
        <v>1315</v>
      </c>
    </row>
    <row r="726" spans="1:8" x14ac:dyDescent="0.3">
      <c r="A726" t="s">
        <v>732</v>
      </c>
      <c r="B726" t="s">
        <v>921</v>
      </c>
      <c r="C726" t="s">
        <v>1282</v>
      </c>
      <c r="D726" t="s">
        <v>1290</v>
      </c>
      <c r="E726">
        <v>1</v>
      </c>
      <c r="F726">
        <v>286</v>
      </c>
      <c r="G726">
        <v>286</v>
      </c>
      <c r="H726" t="s">
        <v>1313</v>
      </c>
    </row>
    <row r="727" spans="1:8" x14ac:dyDescent="0.3">
      <c r="A727" t="s">
        <v>733</v>
      </c>
      <c r="B727" t="s">
        <v>1023</v>
      </c>
      <c r="C727" t="s">
        <v>1273</v>
      </c>
      <c r="D727" t="s">
        <v>1289</v>
      </c>
      <c r="E727">
        <v>6</v>
      </c>
      <c r="F727">
        <v>277</v>
      </c>
      <c r="G727">
        <v>1662</v>
      </c>
      <c r="H727" t="s">
        <v>1314</v>
      </c>
    </row>
    <row r="728" spans="1:8" x14ac:dyDescent="0.3">
      <c r="A728" t="s">
        <v>734</v>
      </c>
      <c r="B728" t="s">
        <v>1124</v>
      </c>
      <c r="C728" t="s">
        <v>1276</v>
      </c>
      <c r="D728" t="s">
        <v>1290</v>
      </c>
      <c r="E728">
        <v>7</v>
      </c>
      <c r="F728">
        <v>463</v>
      </c>
      <c r="G728">
        <v>3241</v>
      </c>
      <c r="H728" t="s">
        <v>1313</v>
      </c>
    </row>
    <row r="729" spans="1:8" x14ac:dyDescent="0.3">
      <c r="A729" t="s">
        <v>735</v>
      </c>
      <c r="B729" t="s">
        <v>1018</v>
      </c>
      <c r="C729" t="s">
        <v>1275</v>
      </c>
      <c r="D729" t="s">
        <v>1289</v>
      </c>
      <c r="E729">
        <v>8</v>
      </c>
      <c r="F729">
        <v>402</v>
      </c>
      <c r="G729">
        <v>3216</v>
      </c>
      <c r="H729" t="s">
        <v>1316</v>
      </c>
    </row>
    <row r="730" spans="1:8" x14ac:dyDescent="0.3">
      <c r="A730" t="s">
        <v>736</v>
      </c>
      <c r="B730" t="s">
        <v>1192</v>
      </c>
      <c r="C730" t="s">
        <v>1273</v>
      </c>
      <c r="D730" t="s">
        <v>1289</v>
      </c>
      <c r="E730">
        <v>8</v>
      </c>
      <c r="F730">
        <v>822</v>
      </c>
      <c r="G730">
        <v>6576</v>
      </c>
      <c r="H730" t="s">
        <v>1313</v>
      </c>
    </row>
    <row r="731" spans="1:8" x14ac:dyDescent="0.3">
      <c r="A731" t="s">
        <v>737</v>
      </c>
      <c r="B731" t="s">
        <v>1246</v>
      </c>
      <c r="C731" t="s">
        <v>1279</v>
      </c>
      <c r="D731" t="s">
        <v>1289</v>
      </c>
      <c r="E731">
        <v>8</v>
      </c>
      <c r="F731">
        <v>90</v>
      </c>
      <c r="G731">
        <v>720</v>
      </c>
      <c r="H731" t="s">
        <v>1315</v>
      </c>
    </row>
    <row r="732" spans="1:8" x14ac:dyDescent="0.3">
      <c r="A732" t="s">
        <v>738</v>
      </c>
      <c r="B732" t="s">
        <v>1215</v>
      </c>
      <c r="C732" t="s">
        <v>1276</v>
      </c>
      <c r="D732" t="s">
        <v>1290</v>
      </c>
      <c r="E732">
        <v>6</v>
      </c>
      <c r="F732">
        <v>282</v>
      </c>
      <c r="G732">
        <v>1692</v>
      </c>
      <c r="H732" t="s">
        <v>1314</v>
      </c>
    </row>
    <row r="733" spans="1:8" x14ac:dyDescent="0.3">
      <c r="A733" t="s">
        <v>739</v>
      </c>
      <c r="B733" t="s">
        <v>935</v>
      </c>
      <c r="C733" t="s">
        <v>1280</v>
      </c>
      <c r="D733" t="s">
        <v>1290</v>
      </c>
      <c r="E733">
        <v>3</v>
      </c>
      <c r="F733">
        <v>399</v>
      </c>
      <c r="G733">
        <v>1197</v>
      </c>
      <c r="H733" t="s">
        <v>1314</v>
      </c>
    </row>
    <row r="734" spans="1:8" x14ac:dyDescent="0.3">
      <c r="A734" t="s">
        <v>740</v>
      </c>
      <c r="B734" t="s">
        <v>1094</v>
      </c>
      <c r="C734" t="s">
        <v>1273</v>
      </c>
      <c r="D734" t="s">
        <v>1289</v>
      </c>
      <c r="E734">
        <v>6</v>
      </c>
      <c r="F734">
        <v>623</v>
      </c>
      <c r="G734">
        <v>3738</v>
      </c>
      <c r="H734" t="s">
        <v>1316</v>
      </c>
    </row>
    <row r="735" spans="1:8" x14ac:dyDescent="0.3">
      <c r="A735" t="s">
        <v>741</v>
      </c>
      <c r="B735" t="s">
        <v>939</v>
      </c>
      <c r="C735" t="s">
        <v>1276</v>
      </c>
      <c r="D735" t="s">
        <v>1290</v>
      </c>
      <c r="E735">
        <v>7</v>
      </c>
      <c r="F735">
        <v>684</v>
      </c>
      <c r="G735">
        <v>4788</v>
      </c>
      <c r="H735" t="s">
        <v>1316</v>
      </c>
    </row>
    <row r="736" spans="1:8" x14ac:dyDescent="0.3">
      <c r="A736" t="s">
        <v>742</v>
      </c>
      <c r="B736" t="s">
        <v>945</v>
      </c>
      <c r="C736" t="s">
        <v>1287</v>
      </c>
      <c r="D736" t="s">
        <v>1289</v>
      </c>
      <c r="E736">
        <v>1</v>
      </c>
      <c r="F736">
        <v>118</v>
      </c>
      <c r="G736">
        <v>118</v>
      </c>
      <c r="H736" t="s">
        <v>1313</v>
      </c>
    </row>
    <row r="737" spans="1:8" x14ac:dyDescent="0.3">
      <c r="A737" t="s">
        <v>743</v>
      </c>
      <c r="B737" t="s">
        <v>1199</v>
      </c>
      <c r="C737" t="s">
        <v>1274</v>
      </c>
      <c r="D737" t="s">
        <v>1290</v>
      </c>
      <c r="E737">
        <v>7</v>
      </c>
      <c r="F737">
        <v>728</v>
      </c>
      <c r="G737">
        <v>5096</v>
      </c>
      <c r="H737" t="s">
        <v>1315</v>
      </c>
    </row>
    <row r="738" spans="1:8" x14ac:dyDescent="0.3">
      <c r="A738" t="s">
        <v>744</v>
      </c>
      <c r="B738" t="s">
        <v>1089</v>
      </c>
      <c r="C738" t="s">
        <v>1277</v>
      </c>
      <c r="D738" t="s">
        <v>1289</v>
      </c>
      <c r="E738">
        <v>5</v>
      </c>
      <c r="F738">
        <v>258</v>
      </c>
      <c r="G738">
        <v>1290</v>
      </c>
      <c r="H738" t="s">
        <v>1314</v>
      </c>
    </row>
    <row r="739" spans="1:8" x14ac:dyDescent="0.3">
      <c r="A739" t="s">
        <v>745</v>
      </c>
      <c r="B739" t="s">
        <v>1220</v>
      </c>
      <c r="C739" t="s">
        <v>1275</v>
      </c>
      <c r="D739" t="s">
        <v>1291</v>
      </c>
      <c r="E739">
        <v>10</v>
      </c>
      <c r="F739">
        <v>577</v>
      </c>
      <c r="G739">
        <v>5770</v>
      </c>
      <c r="H739" t="s">
        <v>1313</v>
      </c>
    </row>
    <row r="740" spans="1:8" x14ac:dyDescent="0.3">
      <c r="A740" t="s">
        <v>746</v>
      </c>
      <c r="B740" t="s">
        <v>1252</v>
      </c>
      <c r="C740" t="s">
        <v>1276</v>
      </c>
      <c r="D740" t="s">
        <v>1290</v>
      </c>
      <c r="E740">
        <v>6</v>
      </c>
      <c r="F740">
        <v>18</v>
      </c>
      <c r="G740">
        <v>108</v>
      </c>
      <c r="H740" t="s">
        <v>1314</v>
      </c>
    </row>
    <row r="741" spans="1:8" x14ac:dyDescent="0.3">
      <c r="A741" t="s">
        <v>747</v>
      </c>
      <c r="B741" t="s">
        <v>1137</v>
      </c>
      <c r="C741" t="s">
        <v>1277</v>
      </c>
      <c r="D741" t="s">
        <v>1289</v>
      </c>
      <c r="E741">
        <v>10</v>
      </c>
      <c r="F741">
        <v>506</v>
      </c>
      <c r="G741">
        <v>5060</v>
      </c>
      <c r="H741" t="s">
        <v>1314</v>
      </c>
    </row>
    <row r="742" spans="1:8" x14ac:dyDescent="0.3">
      <c r="A742" t="s">
        <v>748</v>
      </c>
      <c r="B742" t="s">
        <v>1004</v>
      </c>
      <c r="C742" t="s">
        <v>1276</v>
      </c>
      <c r="D742" t="s">
        <v>1290</v>
      </c>
      <c r="E742">
        <v>4</v>
      </c>
      <c r="F742">
        <v>189</v>
      </c>
      <c r="G742">
        <v>756</v>
      </c>
      <c r="H742" t="s">
        <v>1315</v>
      </c>
    </row>
    <row r="743" spans="1:8" x14ac:dyDescent="0.3">
      <c r="A743" t="s">
        <v>749</v>
      </c>
      <c r="B743" t="s">
        <v>1233</v>
      </c>
      <c r="C743" t="s">
        <v>1278</v>
      </c>
      <c r="D743" t="s">
        <v>1289</v>
      </c>
      <c r="E743">
        <v>8</v>
      </c>
      <c r="F743">
        <v>879</v>
      </c>
      <c r="G743">
        <v>7032</v>
      </c>
      <c r="H743" t="s">
        <v>1315</v>
      </c>
    </row>
    <row r="744" spans="1:8" x14ac:dyDescent="0.3">
      <c r="A744" t="s">
        <v>750</v>
      </c>
      <c r="B744" t="s">
        <v>918</v>
      </c>
      <c r="C744" t="s">
        <v>1275</v>
      </c>
      <c r="D744" t="s">
        <v>1289</v>
      </c>
      <c r="E744">
        <v>8</v>
      </c>
      <c r="F744">
        <v>515</v>
      </c>
      <c r="G744">
        <v>4120</v>
      </c>
      <c r="H744" t="s">
        <v>1315</v>
      </c>
    </row>
    <row r="745" spans="1:8" x14ac:dyDescent="0.3">
      <c r="A745" t="s">
        <v>751</v>
      </c>
      <c r="B745" t="s">
        <v>1201</v>
      </c>
      <c r="C745" t="s">
        <v>1273</v>
      </c>
      <c r="D745" t="s">
        <v>1289</v>
      </c>
      <c r="E745">
        <v>9</v>
      </c>
      <c r="F745" t="s">
        <v>1312</v>
      </c>
      <c r="H745" t="s">
        <v>1315</v>
      </c>
    </row>
    <row r="746" spans="1:8" x14ac:dyDescent="0.3">
      <c r="A746" t="s">
        <v>752</v>
      </c>
      <c r="B746" t="s">
        <v>1144</v>
      </c>
      <c r="C746" t="s">
        <v>1275</v>
      </c>
      <c r="D746" t="s">
        <v>1289</v>
      </c>
      <c r="E746">
        <v>6</v>
      </c>
      <c r="F746">
        <v>206</v>
      </c>
      <c r="G746">
        <v>1236</v>
      </c>
      <c r="H746" t="s">
        <v>1314</v>
      </c>
    </row>
    <row r="747" spans="1:8" x14ac:dyDescent="0.3">
      <c r="A747" t="s">
        <v>753</v>
      </c>
      <c r="B747" t="s">
        <v>933</v>
      </c>
      <c r="C747" t="s">
        <v>1277</v>
      </c>
      <c r="D747" t="s">
        <v>1289</v>
      </c>
      <c r="E747">
        <v>8</v>
      </c>
      <c r="F747">
        <v>491</v>
      </c>
      <c r="G747">
        <v>3928</v>
      </c>
      <c r="H747" t="s">
        <v>1313</v>
      </c>
    </row>
    <row r="748" spans="1:8" x14ac:dyDescent="0.3">
      <c r="A748" t="s">
        <v>754</v>
      </c>
      <c r="B748" t="s">
        <v>1253</v>
      </c>
      <c r="C748" t="s">
        <v>1277</v>
      </c>
      <c r="D748" t="s">
        <v>1289</v>
      </c>
      <c r="E748">
        <v>10</v>
      </c>
      <c r="F748">
        <v>78</v>
      </c>
      <c r="G748">
        <v>780</v>
      </c>
      <c r="H748" t="s">
        <v>1314</v>
      </c>
    </row>
    <row r="749" spans="1:8" x14ac:dyDescent="0.3">
      <c r="A749" t="s">
        <v>755</v>
      </c>
      <c r="B749" t="s">
        <v>1254</v>
      </c>
      <c r="C749" t="s">
        <v>1273</v>
      </c>
      <c r="D749" t="s">
        <v>1289</v>
      </c>
      <c r="E749">
        <v>6</v>
      </c>
      <c r="F749">
        <v>842</v>
      </c>
      <c r="G749">
        <v>5052</v>
      </c>
      <c r="H749" t="s">
        <v>1316</v>
      </c>
    </row>
    <row r="750" spans="1:8" x14ac:dyDescent="0.3">
      <c r="A750" t="s">
        <v>756</v>
      </c>
      <c r="B750" t="s">
        <v>1115</v>
      </c>
      <c r="C750" t="s">
        <v>1274</v>
      </c>
      <c r="D750" t="s">
        <v>1290</v>
      </c>
      <c r="E750">
        <v>9</v>
      </c>
      <c r="F750">
        <v>77</v>
      </c>
      <c r="G750">
        <v>693</v>
      </c>
      <c r="H750" t="s">
        <v>1316</v>
      </c>
    </row>
    <row r="751" spans="1:8" x14ac:dyDescent="0.3">
      <c r="A751" t="s">
        <v>757</v>
      </c>
      <c r="B751" t="s">
        <v>1003</v>
      </c>
      <c r="C751" t="s">
        <v>1282</v>
      </c>
      <c r="D751" t="s">
        <v>1290</v>
      </c>
      <c r="E751">
        <v>10</v>
      </c>
      <c r="F751">
        <v>256</v>
      </c>
      <c r="G751">
        <v>2560</v>
      </c>
      <c r="H751" t="s">
        <v>1315</v>
      </c>
    </row>
    <row r="752" spans="1:8" x14ac:dyDescent="0.3">
      <c r="A752" t="s">
        <v>758</v>
      </c>
      <c r="B752" t="s">
        <v>1246</v>
      </c>
      <c r="C752" t="s">
        <v>1273</v>
      </c>
      <c r="D752" t="s">
        <v>1289</v>
      </c>
      <c r="E752">
        <v>7</v>
      </c>
      <c r="F752">
        <v>889</v>
      </c>
      <c r="G752">
        <v>6223</v>
      </c>
      <c r="H752" t="s">
        <v>1313</v>
      </c>
    </row>
    <row r="753" spans="1:8" x14ac:dyDescent="0.3">
      <c r="A753" t="s">
        <v>759</v>
      </c>
      <c r="B753" t="s">
        <v>1070</v>
      </c>
      <c r="C753" t="s">
        <v>1273</v>
      </c>
      <c r="D753" t="s">
        <v>1289</v>
      </c>
      <c r="E753">
        <v>8</v>
      </c>
      <c r="F753">
        <v>192</v>
      </c>
      <c r="G753">
        <v>1536</v>
      </c>
      <c r="H753" t="s">
        <v>1313</v>
      </c>
    </row>
    <row r="754" spans="1:8" x14ac:dyDescent="0.3">
      <c r="A754" t="s">
        <v>760</v>
      </c>
      <c r="B754" t="s">
        <v>913</v>
      </c>
      <c r="C754" t="s">
        <v>1274</v>
      </c>
      <c r="D754" t="s">
        <v>1290</v>
      </c>
      <c r="E754">
        <v>3</v>
      </c>
      <c r="F754">
        <v>58</v>
      </c>
      <c r="G754">
        <v>174</v>
      </c>
      <c r="H754" t="s">
        <v>1314</v>
      </c>
    </row>
    <row r="755" spans="1:8" x14ac:dyDescent="0.3">
      <c r="A755" t="s">
        <v>761</v>
      </c>
      <c r="B755" t="s">
        <v>1255</v>
      </c>
      <c r="C755" t="s">
        <v>1275</v>
      </c>
      <c r="D755" t="s">
        <v>1289</v>
      </c>
      <c r="E755">
        <v>4</v>
      </c>
      <c r="F755">
        <v>857</v>
      </c>
      <c r="G755">
        <v>3428</v>
      </c>
      <c r="H755" t="s">
        <v>1313</v>
      </c>
    </row>
    <row r="756" spans="1:8" x14ac:dyDescent="0.3">
      <c r="A756" t="s">
        <v>762</v>
      </c>
      <c r="B756" t="s">
        <v>1133</v>
      </c>
      <c r="C756" t="s">
        <v>1277</v>
      </c>
      <c r="D756" t="s">
        <v>1289</v>
      </c>
      <c r="E756">
        <v>6</v>
      </c>
      <c r="F756">
        <v>759</v>
      </c>
      <c r="G756">
        <v>4554</v>
      </c>
      <c r="H756" t="s">
        <v>1314</v>
      </c>
    </row>
    <row r="757" spans="1:8" x14ac:dyDescent="0.3">
      <c r="A757" t="s">
        <v>763</v>
      </c>
      <c r="B757" t="s">
        <v>975</v>
      </c>
      <c r="C757" t="s">
        <v>1275</v>
      </c>
      <c r="D757" t="s">
        <v>1289</v>
      </c>
      <c r="E757">
        <v>9</v>
      </c>
      <c r="F757">
        <v>421</v>
      </c>
      <c r="G757">
        <v>3789</v>
      </c>
      <c r="H757" t="s">
        <v>1315</v>
      </c>
    </row>
    <row r="758" spans="1:8" x14ac:dyDescent="0.3">
      <c r="A758" t="s">
        <v>764</v>
      </c>
      <c r="B758" t="s">
        <v>1042</v>
      </c>
      <c r="C758" t="s">
        <v>1277</v>
      </c>
      <c r="D758" t="s">
        <v>1289</v>
      </c>
      <c r="E758">
        <v>9</v>
      </c>
      <c r="F758">
        <v>484</v>
      </c>
      <c r="G758">
        <v>4356</v>
      </c>
      <c r="H758" t="s">
        <v>1316</v>
      </c>
    </row>
    <row r="759" spans="1:8" x14ac:dyDescent="0.3">
      <c r="A759" t="s">
        <v>765</v>
      </c>
      <c r="B759" t="s">
        <v>998</v>
      </c>
      <c r="C759" t="s">
        <v>1273</v>
      </c>
      <c r="D759" t="s">
        <v>1289</v>
      </c>
      <c r="E759">
        <v>7</v>
      </c>
      <c r="F759">
        <v>168</v>
      </c>
      <c r="G759">
        <v>1176</v>
      </c>
      <c r="H759" t="s">
        <v>1314</v>
      </c>
    </row>
    <row r="760" spans="1:8" x14ac:dyDescent="0.3">
      <c r="A760" t="s">
        <v>766</v>
      </c>
      <c r="B760" t="s">
        <v>965</v>
      </c>
      <c r="C760" t="s">
        <v>1273</v>
      </c>
      <c r="D760" t="s">
        <v>1289</v>
      </c>
      <c r="E760">
        <v>10</v>
      </c>
      <c r="F760">
        <v>813</v>
      </c>
      <c r="G760">
        <v>8130</v>
      </c>
      <c r="H760" t="s">
        <v>1315</v>
      </c>
    </row>
    <row r="761" spans="1:8" x14ac:dyDescent="0.3">
      <c r="A761" t="s">
        <v>767</v>
      </c>
      <c r="B761" t="s">
        <v>1178</v>
      </c>
      <c r="C761" t="s">
        <v>1288</v>
      </c>
      <c r="D761" t="s">
        <v>1290</v>
      </c>
      <c r="E761">
        <v>7</v>
      </c>
      <c r="F761">
        <v>285</v>
      </c>
      <c r="H761" t="s">
        <v>1316</v>
      </c>
    </row>
    <row r="762" spans="1:8" x14ac:dyDescent="0.3">
      <c r="A762" t="s">
        <v>768</v>
      </c>
      <c r="B762" t="s">
        <v>1034</v>
      </c>
      <c r="C762" t="s">
        <v>1282</v>
      </c>
      <c r="D762" t="s">
        <v>1290</v>
      </c>
      <c r="E762">
        <v>1</v>
      </c>
      <c r="F762">
        <v>191</v>
      </c>
      <c r="G762">
        <v>191</v>
      </c>
      <c r="H762" t="s">
        <v>1316</v>
      </c>
    </row>
    <row r="763" spans="1:8" x14ac:dyDescent="0.3">
      <c r="A763" t="s">
        <v>769</v>
      </c>
      <c r="B763" t="s">
        <v>1256</v>
      </c>
      <c r="C763" t="s">
        <v>1279</v>
      </c>
      <c r="D763" t="s">
        <v>1289</v>
      </c>
      <c r="E763">
        <v>10</v>
      </c>
      <c r="F763">
        <v>638</v>
      </c>
      <c r="G763">
        <v>6380</v>
      </c>
      <c r="H763" t="s">
        <v>1316</v>
      </c>
    </row>
    <row r="764" spans="1:8" x14ac:dyDescent="0.3">
      <c r="A764" t="s">
        <v>770</v>
      </c>
      <c r="B764" t="s">
        <v>940</v>
      </c>
      <c r="C764" t="s">
        <v>1276</v>
      </c>
      <c r="D764" t="s">
        <v>1290</v>
      </c>
      <c r="E764">
        <v>7</v>
      </c>
      <c r="F764">
        <v>354</v>
      </c>
      <c r="G764">
        <v>2478</v>
      </c>
      <c r="H764" t="s">
        <v>1313</v>
      </c>
    </row>
    <row r="765" spans="1:8" x14ac:dyDescent="0.3">
      <c r="A765" t="s">
        <v>771</v>
      </c>
      <c r="B765" t="s">
        <v>1236</v>
      </c>
      <c r="C765" t="s">
        <v>1276</v>
      </c>
      <c r="D765" t="s">
        <v>1292</v>
      </c>
      <c r="E765">
        <v>8</v>
      </c>
      <c r="F765">
        <v>290</v>
      </c>
      <c r="G765">
        <v>2320</v>
      </c>
      <c r="H765" t="s">
        <v>1314</v>
      </c>
    </row>
    <row r="766" spans="1:8" x14ac:dyDescent="0.3">
      <c r="A766" t="s">
        <v>772</v>
      </c>
      <c r="B766" t="s">
        <v>1257</v>
      </c>
      <c r="C766" t="s">
        <v>1288</v>
      </c>
      <c r="D766" t="s">
        <v>1290</v>
      </c>
      <c r="E766">
        <v>5</v>
      </c>
      <c r="F766">
        <v>333</v>
      </c>
      <c r="G766">
        <v>1665</v>
      </c>
      <c r="H766" t="s">
        <v>1316</v>
      </c>
    </row>
    <row r="767" spans="1:8" x14ac:dyDescent="0.3">
      <c r="A767" t="s">
        <v>773</v>
      </c>
      <c r="B767" t="s">
        <v>993</v>
      </c>
      <c r="C767" t="s">
        <v>1273</v>
      </c>
      <c r="D767" t="s">
        <v>1289</v>
      </c>
      <c r="E767">
        <v>4</v>
      </c>
      <c r="F767">
        <v>152</v>
      </c>
      <c r="G767">
        <v>608</v>
      </c>
      <c r="H767" t="s">
        <v>1316</v>
      </c>
    </row>
    <row r="768" spans="1:8" x14ac:dyDescent="0.3">
      <c r="A768" t="s">
        <v>774</v>
      </c>
      <c r="B768" t="s">
        <v>1132</v>
      </c>
      <c r="C768" t="s">
        <v>1280</v>
      </c>
      <c r="D768" t="s">
        <v>1290</v>
      </c>
      <c r="E768">
        <v>5</v>
      </c>
      <c r="F768">
        <v>761</v>
      </c>
      <c r="H768" t="s">
        <v>1314</v>
      </c>
    </row>
    <row r="769" spans="1:8" x14ac:dyDescent="0.3">
      <c r="A769" t="s">
        <v>775</v>
      </c>
      <c r="B769" t="s">
        <v>1035</v>
      </c>
      <c r="C769" t="s">
        <v>1274</v>
      </c>
      <c r="D769" t="s">
        <v>1290</v>
      </c>
      <c r="E769">
        <v>8</v>
      </c>
      <c r="F769">
        <v>231</v>
      </c>
      <c r="G769">
        <v>1848</v>
      </c>
      <c r="H769" t="s">
        <v>1316</v>
      </c>
    </row>
    <row r="770" spans="1:8" x14ac:dyDescent="0.3">
      <c r="A770" t="s">
        <v>776</v>
      </c>
      <c r="B770" t="s">
        <v>930</v>
      </c>
      <c r="C770" t="s">
        <v>1280</v>
      </c>
      <c r="D770" t="s">
        <v>1290</v>
      </c>
      <c r="E770">
        <v>1</v>
      </c>
      <c r="F770">
        <v>542</v>
      </c>
      <c r="G770">
        <v>542</v>
      </c>
      <c r="H770" t="s">
        <v>1314</v>
      </c>
    </row>
    <row r="771" spans="1:8" x14ac:dyDescent="0.3">
      <c r="A771" t="s">
        <v>777</v>
      </c>
      <c r="B771" t="s">
        <v>1183</v>
      </c>
      <c r="C771" t="s">
        <v>1277</v>
      </c>
      <c r="D771" t="s">
        <v>1289</v>
      </c>
      <c r="E771">
        <v>0</v>
      </c>
      <c r="F771">
        <v>428</v>
      </c>
      <c r="G771">
        <v>3852</v>
      </c>
      <c r="H771" t="s">
        <v>1314</v>
      </c>
    </row>
    <row r="772" spans="1:8" x14ac:dyDescent="0.3">
      <c r="A772" t="s">
        <v>778</v>
      </c>
      <c r="B772" t="s">
        <v>1137</v>
      </c>
      <c r="C772" t="s">
        <v>1279</v>
      </c>
      <c r="D772" t="s">
        <v>1289</v>
      </c>
      <c r="E772">
        <v>4</v>
      </c>
      <c r="F772">
        <v>867</v>
      </c>
      <c r="G772">
        <v>3468</v>
      </c>
      <c r="H772" t="s">
        <v>1314</v>
      </c>
    </row>
    <row r="773" spans="1:8" x14ac:dyDescent="0.3">
      <c r="A773" t="s">
        <v>779</v>
      </c>
      <c r="B773" t="s">
        <v>1241</v>
      </c>
      <c r="C773" t="s">
        <v>1274</v>
      </c>
      <c r="D773" t="s">
        <v>1290</v>
      </c>
      <c r="E773">
        <v>1</v>
      </c>
      <c r="F773">
        <v>482</v>
      </c>
      <c r="G773">
        <v>482</v>
      </c>
      <c r="H773" t="s">
        <v>1315</v>
      </c>
    </row>
    <row r="774" spans="1:8" x14ac:dyDescent="0.3">
      <c r="A774" t="s">
        <v>780</v>
      </c>
      <c r="B774" t="s">
        <v>1087</v>
      </c>
      <c r="C774" t="s">
        <v>1274</v>
      </c>
      <c r="D774" t="s">
        <v>1290</v>
      </c>
      <c r="E774">
        <v>5</v>
      </c>
      <c r="F774">
        <v>392</v>
      </c>
      <c r="G774">
        <v>1960</v>
      </c>
      <c r="H774" t="s">
        <v>1316</v>
      </c>
    </row>
    <row r="775" spans="1:8" x14ac:dyDescent="0.3">
      <c r="A775" t="s">
        <v>781</v>
      </c>
      <c r="B775" t="s">
        <v>1236</v>
      </c>
      <c r="C775" t="s">
        <v>1273</v>
      </c>
      <c r="D775" t="s">
        <v>1289</v>
      </c>
      <c r="E775">
        <v>1</v>
      </c>
      <c r="F775">
        <v>262</v>
      </c>
      <c r="G775">
        <v>262</v>
      </c>
      <c r="H775" t="s">
        <v>1316</v>
      </c>
    </row>
    <row r="776" spans="1:8" x14ac:dyDescent="0.3">
      <c r="A776" t="s">
        <v>782</v>
      </c>
      <c r="B776" t="s">
        <v>1075</v>
      </c>
      <c r="C776" t="s">
        <v>1282</v>
      </c>
      <c r="D776" t="s">
        <v>1292</v>
      </c>
      <c r="E776">
        <v>3</v>
      </c>
      <c r="F776">
        <v>500</v>
      </c>
      <c r="G776">
        <v>1500</v>
      </c>
      <c r="H776" t="s">
        <v>1315</v>
      </c>
    </row>
    <row r="777" spans="1:8" x14ac:dyDescent="0.3">
      <c r="A777" t="s">
        <v>783</v>
      </c>
      <c r="B777" t="s">
        <v>1033</v>
      </c>
      <c r="C777" t="s">
        <v>1280</v>
      </c>
      <c r="D777" t="s">
        <v>1290</v>
      </c>
      <c r="E777">
        <v>3</v>
      </c>
      <c r="F777">
        <v>872</v>
      </c>
      <c r="G777">
        <v>2616</v>
      </c>
      <c r="H777" t="s">
        <v>1314</v>
      </c>
    </row>
    <row r="778" spans="1:8" x14ac:dyDescent="0.3">
      <c r="A778" t="s">
        <v>784</v>
      </c>
      <c r="B778" t="s">
        <v>1241</v>
      </c>
      <c r="C778" t="s">
        <v>1277</v>
      </c>
      <c r="D778" t="s">
        <v>1289</v>
      </c>
      <c r="E778">
        <v>1</v>
      </c>
      <c r="F778">
        <v>410</v>
      </c>
      <c r="G778">
        <v>410</v>
      </c>
      <c r="H778" t="s">
        <v>1313</v>
      </c>
    </row>
    <row r="779" spans="1:8" x14ac:dyDescent="0.3">
      <c r="A779" t="s">
        <v>785</v>
      </c>
      <c r="B779" t="s">
        <v>1172</v>
      </c>
      <c r="C779" t="s">
        <v>1274</v>
      </c>
      <c r="D779" t="s">
        <v>1290</v>
      </c>
      <c r="E779">
        <v>4</v>
      </c>
      <c r="F779">
        <v>677</v>
      </c>
      <c r="G779">
        <v>2708</v>
      </c>
      <c r="H779" t="s">
        <v>1313</v>
      </c>
    </row>
    <row r="780" spans="1:8" x14ac:dyDescent="0.3">
      <c r="A780" t="s">
        <v>786</v>
      </c>
      <c r="B780" t="s">
        <v>943</v>
      </c>
      <c r="C780" t="s">
        <v>1277</v>
      </c>
      <c r="D780" t="s">
        <v>1289</v>
      </c>
      <c r="E780">
        <v>7</v>
      </c>
      <c r="F780">
        <v>540</v>
      </c>
      <c r="G780">
        <v>3780</v>
      </c>
      <c r="H780" t="s">
        <v>1314</v>
      </c>
    </row>
    <row r="781" spans="1:8" x14ac:dyDescent="0.3">
      <c r="A781" t="s">
        <v>787</v>
      </c>
      <c r="B781" t="s">
        <v>1047</v>
      </c>
      <c r="C781" t="s">
        <v>1282</v>
      </c>
      <c r="D781" t="s">
        <v>1290</v>
      </c>
      <c r="E781">
        <v>3</v>
      </c>
      <c r="F781">
        <v>677</v>
      </c>
      <c r="G781">
        <v>2031</v>
      </c>
      <c r="H781" t="s">
        <v>1314</v>
      </c>
    </row>
    <row r="782" spans="1:8" x14ac:dyDescent="0.3">
      <c r="A782" t="s">
        <v>788</v>
      </c>
      <c r="B782" t="s">
        <v>983</v>
      </c>
      <c r="C782" t="s">
        <v>1274</v>
      </c>
      <c r="D782" t="s">
        <v>1290</v>
      </c>
      <c r="E782">
        <v>5</v>
      </c>
      <c r="F782">
        <v>637</v>
      </c>
      <c r="G782">
        <v>3185</v>
      </c>
      <c r="H782" t="s">
        <v>1315</v>
      </c>
    </row>
    <row r="783" spans="1:8" x14ac:dyDescent="0.3">
      <c r="A783" t="s">
        <v>789</v>
      </c>
      <c r="B783" t="s">
        <v>1258</v>
      </c>
      <c r="C783" t="s">
        <v>1275</v>
      </c>
      <c r="D783" t="s">
        <v>1289</v>
      </c>
      <c r="E783">
        <v>7</v>
      </c>
      <c r="F783">
        <v>887</v>
      </c>
      <c r="G783">
        <v>6209</v>
      </c>
      <c r="H783" t="s">
        <v>1316</v>
      </c>
    </row>
    <row r="784" spans="1:8" x14ac:dyDescent="0.3">
      <c r="A784" t="s">
        <v>790</v>
      </c>
      <c r="B784" t="s">
        <v>968</v>
      </c>
      <c r="C784" t="s">
        <v>1277</v>
      </c>
      <c r="D784" t="s">
        <v>1289</v>
      </c>
      <c r="E784">
        <v>4</v>
      </c>
      <c r="F784">
        <v>492</v>
      </c>
      <c r="G784">
        <v>1968</v>
      </c>
      <c r="H784" t="s">
        <v>1316</v>
      </c>
    </row>
    <row r="785" spans="1:8" x14ac:dyDescent="0.3">
      <c r="A785" t="s">
        <v>791</v>
      </c>
      <c r="B785" t="s">
        <v>1259</v>
      </c>
      <c r="C785" t="s">
        <v>1273</v>
      </c>
      <c r="D785" t="s">
        <v>1289</v>
      </c>
      <c r="E785">
        <v>1</v>
      </c>
      <c r="F785">
        <v>538</v>
      </c>
      <c r="G785">
        <v>538</v>
      </c>
      <c r="H785" t="s">
        <v>1315</v>
      </c>
    </row>
    <row r="786" spans="1:8" x14ac:dyDescent="0.3">
      <c r="A786" t="s">
        <v>792</v>
      </c>
      <c r="B786" t="s">
        <v>1023</v>
      </c>
      <c r="C786" t="s">
        <v>1277</v>
      </c>
      <c r="D786" t="s">
        <v>1289</v>
      </c>
      <c r="E786">
        <v>5</v>
      </c>
      <c r="F786">
        <v>715</v>
      </c>
      <c r="G786">
        <v>3575</v>
      </c>
      <c r="H786" t="s">
        <v>1316</v>
      </c>
    </row>
    <row r="787" spans="1:8" x14ac:dyDescent="0.3">
      <c r="A787" t="s">
        <v>793</v>
      </c>
      <c r="B787" t="s">
        <v>934</v>
      </c>
      <c r="C787" t="s">
        <v>1273</v>
      </c>
      <c r="D787" t="s">
        <v>1289</v>
      </c>
      <c r="E787">
        <v>6</v>
      </c>
      <c r="F787">
        <v>298</v>
      </c>
      <c r="G787">
        <v>1788</v>
      </c>
      <c r="H787" t="s">
        <v>1315</v>
      </c>
    </row>
    <row r="788" spans="1:8" x14ac:dyDescent="0.3">
      <c r="A788" t="s">
        <v>794</v>
      </c>
      <c r="B788" t="s">
        <v>1036</v>
      </c>
      <c r="C788" t="s">
        <v>1277</v>
      </c>
      <c r="D788" t="s">
        <v>1289</v>
      </c>
      <c r="E788">
        <v>5</v>
      </c>
      <c r="F788">
        <v>686</v>
      </c>
      <c r="G788">
        <v>3430</v>
      </c>
      <c r="H788" t="s">
        <v>1315</v>
      </c>
    </row>
    <row r="789" spans="1:8" x14ac:dyDescent="0.3">
      <c r="A789" t="s">
        <v>795</v>
      </c>
      <c r="B789" t="s">
        <v>937</v>
      </c>
      <c r="C789" t="s">
        <v>1274</v>
      </c>
      <c r="D789" t="s">
        <v>1290</v>
      </c>
      <c r="E789">
        <v>3</v>
      </c>
      <c r="F789">
        <v>544</v>
      </c>
      <c r="G789">
        <v>1632</v>
      </c>
      <c r="H789" t="s">
        <v>1314</v>
      </c>
    </row>
    <row r="790" spans="1:8" x14ac:dyDescent="0.3">
      <c r="A790" t="s">
        <v>796</v>
      </c>
      <c r="B790" t="s">
        <v>1208</v>
      </c>
      <c r="C790" t="s">
        <v>1284</v>
      </c>
      <c r="D790" t="s">
        <v>1289</v>
      </c>
      <c r="E790">
        <v>6</v>
      </c>
      <c r="F790">
        <v>712</v>
      </c>
      <c r="G790">
        <v>4272</v>
      </c>
      <c r="H790" t="s">
        <v>1314</v>
      </c>
    </row>
    <row r="791" spans="1:8" x14ac:dyDescent="0.3">
      <c r="A791" t="s">
        <v>797</v>
      </c>
      <c r="B791" t="s">
        <v>1124</v>
      </c>
      <c r="C791" t="s">
        <v>1282</v>
      </c>
      <c r="D791" t="s">
        <v>1290</v>
      </c>
      <c r="E791">
        <v>5</v>
      </c>
      <c r="F791">
        <v>280</v>
      </c>
      <c r="G791">
        <v>1400</v>
      </c>
      <c r="H791" t="s">
        <v>1316</v>
      </c>
    </row>
    <row r="792" spans="1:8" x14ac:dyDescent="0.3">
      <c r="A792" t="s">
        <v>798</v>
      </c>
      <c r="B792" t="s">
        <v>944</v>
      </c>
      <c r="C792" t="s">
        <v>1275</v>
      </c>
      <c r="D792" t="s">
        <v>1289</v>
      </c>
      <c r="E792">
        <v>1</v>
      </c>
      <c r="F792">
        <v>612</v>
      </c>
      <c r="G792">
        <v>612</v>
      </c>
      <c r="H792" t="s">
        <v>1313</v>
      </c>
    </row>
    <row r="793" spans="1:8" x14ac:dyDescent="0.3">
      <c r="A793" t="s">
        <v>799</v>
      </c>
      <c r="B793" t="s">
        <v>1154</v>
      </c>
      <c r="C793" t="s">
        <v>1288</v>
      </c>
      <c r="D793" t="s">
        <v>1290</v>
      </c>
      <c r="E793">
        <v>4</v>
      </c>
      <c r="F793">
        <v>717</v>
      </c>
      <c r="G793">
        <v>2868</v>
      </c>
      <c r="H793" t="s">
        <v>1316</v>
      </c>
    </row>
    <row r="794" spans="1:8" x14ac:dyDescent="0.3">
      <c r="A794" t="s">
        <v>800</v>
      </c>
      <c r="B794" t="s">
        <v>922</v>
      </c>
      <c r="C794" t="s">
        <v>1288</v>
      </c>
      <c r="D794" t="s">
        <v>1290</v>
      </c>
      <c r="E794">
        <v>9</v>
      </c>
      <c r="F794">
        <v>322</v>
      </c>
      <c r="G794">
        <v>2898</v>
      </c>
      <c r="H794" t="s">
        <v>1313</v>
      </c>
    </row>
    <row r="795" spans="1:8" x14ac:dyDescent="0.3">
      <c r="A795" t="s">
        <v>801</v>
      </c>
      <c r="B795" t="s">
        <v>1118</v>
      </c>
      <c r="C795" t="s">
        <v>1281</v>
      </c>
      <c r="D795" t="s">
        <v>1289</v>
      </c>
      <c r="E795">
        <v>2</v>
      </c>
      <c r="F795">
        <v>497</v>
      </c>
      <c r="G795">
        <v>994</v>
      </c>
      <c r="H795" t="s">
        <v>1315</v>
      </c>
    </row>
    <row r="796" spans="1:8" x14ac:dyDescent="0.3">
      <c r="A796" t="s">
        <v>802</v>
      </c>
      <c r="B796" t="s">
        <v>1228</v>
      </c>
      <c r="C796" t="s">
        <v>1279</v>
      </c>
      <c r="D796" t="s">
        <v>1289</v>
      </c>
      <c r="E796">
        <v>6</v>
      </c>
      <c r="F796">
        <v>685</v>
      </c>
      <c r="G796">
        <v>4110</v>
      </c>
      <c r="H796" t="s">
        <v>1313</v>
      </c>
    </row>
    <row r="797" spans="1:8" x14ac:dyDescent="0.3">
      <c r="A797" t="s">
        <v>803</v>
      </c>
      <c r="B797" t="s">
        <v>976</v>
      </c>
      <c r="C797" t="s">
        <v>1280</v>
      </c>
      <c r="D797" t="s">
        <v>1290</v>
      </c>
      <c r="E797">
        <v>4</v>
      </c>
      <c r="F797">
        <v>777</v>
      </c>
      <c r="G797">
        <v>3108</v>
      </c>
      <c r="H797" t="s">
        <v>1316</v>
      </c>
    </row>
    <row r="798" spans="1:8" x14ac:dyDescent="0.3">
      <c r="A798" t="s">
        <v>804</v>
      </c>
      <c r="B798" t="s">
        <v>958</v>
      </c>
      <c r="C798" t="s">
        <v>1280</v>
      </c>
      <c r="D798" t="s">
        <v>1290</v>
      </c>
      <c r="E798">
        <v>6</v>
      </c>
      <c r="F798">
        <v>281</v>
      </c>
      <c r="G798">
        <v>1686</v>
      </c>
      <c r="H798" t="s">
        <v>1315</v>
      </c>
    </row>
    <row r="799" spans="1:8" x14ac:dyDescent="0.3">
      <c r="A799" t="s">
        <v>805</v>
      </c>
      <c r="B799" t="s">
        <v>1041</v>
      </c>
      <c r="C799" t="s">
        <v>1282</v>
      </c>
      <c r="D799" t="s">
        <v>1290</v>
      </c>
      <c r="E799">
        <v>2</v>
      </c>
      <c r="F799">
        <v>496</v>
      </c>
      <c r="G799">
        <v>992</v>
      </c>
      <c r="H799" t="s">
        <v>1314</v>
      </c>
    </row>
    <row r="800" spans="1:8" x14ac:dyDescent="0.3">
      <c r="A800" t="s">
        <v>806</v>
      </c>
      <c r="B800" t="s">
        <v>942</v>
      </c>
      <c r="C800" t="s">
        <v>1282</v>
      </c>
      <c r="D800" t="s">
        <v>1290</v>
      </c>
      <c r="E800">
        <v>4</v>
      </c>
      <c r="F800">
        <v>527</v>
      </c>
      <c r="G800">
        <v>2108</v>
      </c>
      <c r="H800" t="s">
        <v>1316</v>
      </c>
    </row>
    <row r="801" spans="1:8" x14ac:dyDescent="0.3">
      <c r="A801" t="s">
        <v>807</v>
      </c>
      <c r="B801" t="s">
        <v>1260</v>
      </c>
      <c r="C801" t="s">
        <v>1277</v>
      </c>
      <c r="D801" t="s">
        <v>1289</v>
      </c>
      <c r="E801">
        <v>7</v>
      </c>
      <c r="F801">
        <v>70</v>
      </c>
      <c r="G801">
        <v>490</v>
      </c>
      <c r="H801" t="s">
        <v>1313</v>
      </c>
    </row>
    <row r="802" spans="1:8" x14ac:dyDescent="0.3">
      <c r="A802" t="s">
        <v>808</v>
      </c>
      <c r="B802" t="s">
        <v>1231</v>
      </c>
      <c r="C802" t="s">
        <v>1274</v>
      </c>
      <c r="D802" t="s">
        <v>1290</v>
      </c>
      <c r="E802">
        <v>6</v>
      </c>
      <c r="F802">
        <v>434</v>
      </c>
      <c r="G802">
        <v>2604</v>
      </c>
      <c r="H802" t="s">
        <v>1316</v>
      </c>
    </row>
    <row r="803" spans="1:8" x14ac:dyDescent="0.3">
      <c r="A803" t="s">
        <v>809</v>
      </c>
      <c r="B803" t="s">
        <v>1073</v>
      </c>
      <c r="C803" t="s">
        <v>1279</v>
      </c>
      <c r="D803" t="s">
        <v>1289</v>
      </c>
      <c r="E803">
        <v>6</v>
      </c>
      <c r="F803">
        <v>898</v>
      </c>
      <c r="G803">
        <v>5388</v>
      </c>
      <c r="H803" t="s">
        <v>1314</v>
      </c>
    </row>
    <row r="804" spans="1:8" x14ac:dyDescent="0.3">
      <c r="A804" t="s">
        <v>810</v>
      </c>
      <c r="B804" t="s">
        <v>999</v>
      </c>
      <c r="C804" t="s">
        <v>1282</v>
      </c>
      <c r="D804" t="s">
        <v>1290</v>
      </c>
      <c r="E804">
        <v>6</v>
      </c>
      <c r="F804">
        <v>661</v>
      </c>
      <c r="G804">
        <v>3966</v>
      </c>
      <c r="H804" t="s">
        <v>1315</v>
      </c>
    </row>
    <row r="805" spans="1:8" x14ac:dyDescent="0.3">
      <c r="A805" t="s">
        <v>811</v>
      </c>
      <c r="B805" t="s">
        <v>908</v>
      </c>
      <c r="C805" t="s">
        <v>1276</v>
      </c>
      <c r="D805" t="s">
        <v>1290</v>
      </c>
      <c r="E805">
        <v>1</v>
      </c>
      <c r="F805">
        <v>477</v>
      </c>
      <c r="G805">
        <v>477</v>
      </c>
      <c r="H805" t="s">
        <v>1313</v>
      </c>
    </row>
    <row r="806" spans="1:8" x14ac:dyDescent="0.3">
      <c r="A806" t="s">
        <v>812</v>
      </c>
      <c r="B806" t="s">
        <v>930</v>
      </c>
      <c r="C806" t="s">
        <v>1279</v>
      </c>
      <c r="D806" t="s">
        <v>1289</v>
      </c>
      <c r="E806">
        <v>10</v>
      </c>
      <c r="F806">
        <v>797</v>
      </c>
      <c r="G806">
        <v>7970</v>
      </c>
      <c r="H806" t="s">
        <v>1316</v>
      </c>
    </row>
    <row r="807" spans="1:8" x14ac:dyDescent="0.3">
      <c r="A807" t="s">
        <v>813</v>
      </c>
      <c r="B807" t="s">
        <v>1261</v>
      </c>
      <c r="C807" t="s">
        <v>1273</v>
      </c>
      <c r="D807" t="s">
        <v>1289</v>
      </c>
      <c r="E807">
        <v>3</v>
      </c>
      <c r="F807">
        <v>644</v>
      </c>
      <c r="G807">
        <v>1932</v>
      </c>
      <c r="H807" t="s">
        <v>1316</v>
      </c>
    </row>
    <row r="808" spans="1:8" x14ac:dyDescent="0.3">
      <c r="A808" t="s">
        <v>814</v>
      </c>
      <c r="B808" t="s">
        <v>1178</v>
      </c>
      <c r="C808" t="s">
        <v>1275</v>
      </c>
      <c r="D808" t="s">
        <v>1289</v>
      </c>
      <c r="E808">
        <v>7</v>
      </c>
      <c r="F808">
        <v>503</v>
      </c>
      <c r="G808">
        <v>3521</v>
      </c>
      <c r="H808" t="s">
        <v>1314</v>
      </c>
    </row>
    <row r="809" spans="1:8" x14ac:dyDescent="0.3">
      <c r="A809" t="s">
        <v>815</v>
      </c>
      <c r="B809" t="s">
        <v>1125</v>
      </c>
      <c r="C809" t="s">
        <v>1276</v>
      </c>
      <c r="D809" t="s">
        <v>1290</v>
      </c>
      <c r="E809">
        <v>9</v>
      </c>
      <c r="F809">
        <v>219</v>
      </c>
      <c r="G809">
        <v>1971</v>
      </c>
      <c r="H809" t="s">
        <v>1314</v>
      </c>
    </row>
    <row r="810" spans="1:8" x14ac:dyDescent="0.3">
      <c r="A810" t="s">
        <v>816</v>
      </c>
      <c r="B810" t="s">
        <v>1119</v>
      </c>
      <c r="C810" t="s">
        <v>1280</v>
      </c>
      <c r="D810" t="s">
        <v>1290</v>
      </c>
      <c r="E810">
        <v>9</v>
      </c>
      <c r="F810">
        <v>210</v>
      </c>
      <c r="G810">
        <v>1890</v>
      </c>
      <c r="H810" t="s">
        <v>1314</v>
      </c>
    </row>
    <row r="811" spans="1:8" x14ac:dyDescent="0.3">
      <c r="A811" t="s">
        <v>817</v>
      </c>
      <c r="B811" t="s">
        <v>1100</v>
      </c>
      <c r="C811" t="s">
        <v>1274</v>
      </c>
      <c r="D811" t="s">
        <v>1290</v>
      </c>
      <c r="E811">
        <v>4</v>
      </c>
      <c r="F811">
        <v>725</v>
      </c>
      <c r="G811">
        <v>2900</v>
      </c>
      <c r="H811" t="s">
        <v>1315</v>
      </c>
    </row>
    <row r="812" spans="1:8" x14ac:dyDescent="0.3">
      <c r="A812" t="s">
        <v>818</v>
      </c>
      <c r="B812" t="s">
        <v>1191</v>
      </c>
      <c r="C812" t="s">
        <v>1279</v>
      </c>
      <c r="D812" t="s">
        <v>1289</v>
      </c>
      <c r="E812">
        <v>2</v>
      </c>
      <c r="F812">
        <v>407</v>
      </c>
      <c r="G812">
        <v>814</v>
      </c>
      <c r="H812" t="s">
        <v>1315</v>
      </c>
    </row>
    <row r="813" spans="1:8" x14ac:dyDescent="0.3">
      <c r="A813" t="s">
        <v>819</v>
      </c>
      <c r="B813" t="s">
        <v>1088</v>
      </c>
      <c r="C813" t="s">
        <v>1279</v>
      </c>
      <c r="D813" t="s">
        <v>1289</v>
      </c>
      <c r="E813">
        <v>2</v>
      </c>
      <c r="F813">
        <v>858</v>
      </c>
      <c r="G813">
        <v>1716</v>
      </c>
      <c r="H813" t="s">
        <v>1315</v>
      </c>
    </row>
    <row r="814" spans="1:8" x14ac:dyDescent="0.3">
      <c r="A814" t="s">
        <v>820</v>
      </c>
      <c r="B814" t="s">
        <v>1180</v>
      </c>
      <c r="C814" t="s">
        <v>1277</v>
      </c>
      <c r="D814" t="s">
        <v>1289</v>
      </c>
      <c r="E814">
        <v>8</v>
      </c>
      <c r="F814">
        <v>760</v>
      </c>
      <c r="G814">
        <v>6080</v>
      </c>
      <c r="H814" t="s">
        <v>1315</v>
      </c>
    </row>
    <row r="815" spans="1:8" x14ac:dyDescent="0.3">
      <c r="A815" t="s">
        <v>821</v>
      </c>
      <c r="B815" t="s">
        <v>1200</v>
      </c>
      <c r="C815" t="s">
        <v>1275</v>
      </c>
      <c r="D815" t="s">
        <v>1291</v>
      </c>
      <c r="E815">
        <v>3</v>
      </c>
      <c r="F815">
        <v>365</v>
      </c>
      <c r="G815">
        <v>1095</v>
      </c>
      <c r="H815" t="s">
        <v>1315</v>
      </c>
    </row>
    <row r="816" spans="1:8" x14ac:dyDescent="0.3">
      <c r="A816" t="s">
        <v>822</v>
      </c>
      <c r="B816" t="s">
        <v>1262</v>
      </c>
      <c r="C816" t="s">
        <v>1274</v>
      </c>
      <c r="D816" t="s">
        <v>1290</v>
      </c>
      <c r="E816">
        <v>3</v>
      </c>
      <c r="F816">
        <v>846</v>
      </c>
      <c r="G816">
        <v>2538</v>
      </c>
      <c r="H816" t="s">
        <v>1314</v>
      </c>
    </row>
    <row r="817" spans="1:8" x14ac:dyDescent="0.3">
      <c r="A817" t="s">
        <v>823</v>
      </c>
      <c r="B817" t="s">
        <v>1263</v>
      </c>
      <c r="C817" t="s">
        <v>1283</v>
      </c>
      <c r="D817" t="s">
        <v>1290</v>
      </c>
      <c r="E817">
        <v>4</v>
      </c>
      <c r="F817">
        <v>759</v>
      </c>
      <c r="G817">
        <v>3036</v>
      </c>
      <c r="H817" t="s">
        <v>1313</v>
      </c>
    </row>
    <row r="818" spans="1:8" x14ac:dyDescent="0.3">
      <c r="A818" t="s">
        <v>824</v>
      </c>
      <c r="B818" t="s">
        <v>1264</v>
      </c>
      <c r="C818" t="s">
        <v>1276</v>
      </c>
      <c r="D818" t="s">
        <v>1290</v>
      </c>
      <c r="E818">
        <v>10</v>
      </c>
      <c r="F818">
        <v>531</v>
      </c>
      <c r="G818">
        <v>5310</v>
      </c>
      <c r="H818" t="s">
        <v>1314</v>
      </c>
    </row>
    <row r="819" spans="1:8" x14ac:dyDescent="0.3">
      <c r="A819" t="s">
        <v>825</v>
      </c>
      <c r="B819" t="s">
        <v>934</v>
      </c>
      <c r="C819" t="s">
        <v>1280</v>
      </c>
      <c r="D819" t="s">
        <v>1290</v>
      </c>
      <c r="E819">
        <v>1</v>
      </c>
      <c r="F819">
        <v>399</v>
      </c>
      <c r="G819">
        <v>399</v>
      </c>
      <c r="H819" t="s">
        <v>1315</v>
      </c>
    </row>
    <row r="820" spans="1:8" x14ac:dyDescent="0.3">
      <c r="A820" t="s">
        <v>826</v>
      </c>
      <c r="B820" t="s">
        <v>918</v>
      </c>
      <c r="C820" t="s">
        <v>1276</v>
      </c>
      <c r="D820" t="s">
        <v>1290</v>
      </c>
      <c r="E820">
        <v>0</v>
      </c>
      <c r="F820">
        <v>64</v>
      </c>
      <c r="G820">
        <v>640</v>
      </c>
      <c r="H820" t="s">
        <v>1314</v>
      </c>
    </row>
    <row r="821" spans="1:8" x14ac:dyDescent="0.3">
      <c r="A821" t="s">
        <v>827</v>
      </c>
      <c r="B821" t="s">
        <v>1233</v>
      </c>
      <c r="C821" t="s">
        <v>1276</v>
      </c>
      <c r="D821" t="s">
        <v>1290</v>
      </c>
      <c r="E821">
        <v>1</v>
      </c>
      <c r="F821">
        <v>721</v>
      </c>
      <c r="G821">
        <v>721</v>
      </c>
      <c r="H821" t="s">
        <v>1316</v>
      </c>
    </row>
    <row r="822" spans="1:8" x14ac:dyDescent="0.3">
      <c r="A822" t="s">
        <v>828</v>
      </c>
      <c r="B822" t="s">
        <v>1179</v>
      </c>
      <c r="C822" t="s">
        <v>1282</v>
      </c>
      <c r="D822" t="s">
        <v>1290</v>
      </c>
      <c r="E822">
        <v>7</v>
      </c>
      <c r="F822">
        <v>141</v>
      </c>
      <c r="G822">
        <v>987</v>
      </c>
      <c r="H822" t="s">
        <v>1315</v>
      </c>
    </row>
    <row r="823" spans="1:8" x14ac:dyDescent="0.3">
      <c r="A823" t="s">
        <v>829</v>
      </c>
      <c r="B823" t="s">
        <v>1212</v>
      </c>
      <c r="C823" t="s">
        <v>1282</v>
      </c>
      <c r="D823" t="s">
        <v>1290</v>
      </c>
      <c r="E823">
        <v>3</v>
      </c>
      <c r="F823">
        <v>225</v>
      </c>
      <c r="G823">
        <v>675</v>
      </c>
      <c r="H823" t="s">
        <v>1314</v>
      </c>
    </row>
    <row r="824" spans="1:8" x14ac:dyDescent="0.3">
      <c r="A824" t="s">
        <v>830</v>
      </c>
      <c r="B824" t="s">
        <v>965</v>
      </c>
      <c r="C824" t="s">
        <v>1281</v>
      </c>
      <c r="D824" t="s">
        <v>1289</v>
      </c>
      <c r="E824">
        <v>7</v>
      </c>
      <c r="F824">
        <v>692</v>
      </c>
      <c r="G824">
        <v>4844</v>
      </c>
      <c r="H824" t="s">
        <v>1315</v>
      </c>
    </row>
    <row r="825" spans="1:8" x14ac:dyDescent="0.3">
      <c r="A825" t="s">
        <v>831</v>
      </c>
      <c r="B825" t="s">
        <v>1215</v>
      </c>
      <c r="C825" t="s">
        <v>1279</v>
      </c>
      <c r="D825" t="s">
        <v>1289</v>
      </c>
      <c r="E825">
        <v>7</v>
      </c>
      <c r="F825">
        <v>865</v>
      </c>
      <c r="G825">
        <v>6055</v>
      </c>
      <c r="H825" t="s">
        <v>1314</v>
      </c>
    </row>
    <row r="826" spans="1:8" x14ac:dyDescent="0.3">
      <c r="A826" t="s">
        <v>832</v>
      </c>
      <c r="B826" t="s">
        <v>1105</v>
      </c>
      <c r="C826" t="s">
        <v>1277</v>
      </c>
      <c r="D826" t="s">
        <v>1289</v>
      </c>
      <c r="E826">
        <v>2</v>
      </c>
      <c r="F826">
        <v>818</v>
      </c>
      <c r="G826">
        <v>1636</v>
      </c>
      <c r="H826" t="s">
        <v>1316</v>
      </c>
    </row>
    <row r="827" spans="1:8" x14ac:dyDescent="0.3">
      <c r="A827" t="s">
        <v>833</v>
      </c>
      <c r="B827" t="s">
        <v>933</v>
      </c>
      <c r="C827" t="s">
        <v>1274</v>
      </c>
      <c r="D827" t="s">
        <v>1290</v>
      </c>
      <c r="E827">
        <v>10</v>
      </c>
      <c r="F827">
        <v>219</v>
      </c>
      <c r="G827">
        <v>2190</v>
      </c>
      <c r="H827" t="s">
        <v>1313</v>
      </c>
    </row>
    <row r="828" spans="1:8" x14ac:dyDescent="0.3">
      <c r="A828" t="s">
        <v>834</v>
      </c>
      <c r="B828" t="s">
        <v>935</v>
      </c>
      <c r="C828" t="s">
        <v>1280</v>
      </c>
      <c r="D828" t="s">
        <v>1290</v>
      </c>
      <c r="E828">
        <v>7</v>
      </c>
      <c r="F828">
        <v>317</v>
      </c>
      <c r="G828">
        <v>2219</v>
      </c>
      <c r="H828" t="s">
        <v>1314</v>
      </c>
    </row>
    <row r="829" spans="1:8" x14ac:dyDescent="0.3">
      <c r="A829" t="s">
        <v>835</v>
      </c>
      <c r="B829" t="s">
        <v>1082</v>
      </c>
      <c r="C829" t="s">
        <v>1282</v>
      </c>
      <c r="D829" t="s">
        <v>1290</v>
      </c>
      <c r="E829">
        <v>4</v>
      </c>
      <c r="F829">
        <v>719</v>
      </c>
      <c r="G829">
        <v>2876</v>
      </c>
      <c r="H829" t="s">
        <v>1319</v>
      </c>
    </row>
    <row r="830" spans="1:8" x14ac:dyDescent="0.3">
      <c r="A830" t="s">
        <v>836</v>
      </c>
      <c r="B830" t="s">
        <v>963</v>
      </c>
      <c r="C830" t="s">
        <v>1274</v>
      </c>
      <c r="D830" t="s">
        <v>1290</v>
      </c>
      <c r="E830">
        <v>1</v>
      </c>
      <c r="F830">
        <v>28</v>
      </c>
      <c r="G830">
        <v>28</v>
      </c>
      <c r="H830" t="s">
        <v>1314</v>
      </c>
    </row>
    <row r="831" spans="1:8" x14ac:dyDescent="0.3">
      <c r="A831" t="s">
        <v>837</v>
      </c>
      <c r="B831" t="s">
        <v>1150</v>
      </c>
      <c r="C831" t="s">
        <v>1273</v>
      </c>
      <c r="D831" t="s">
        <v>1289</v>
      </c>
      <c r="E831">
        <v>10</v>
      </c>
      <c r="F831">
        <v>700</v>
      </c>
      <c r="G831">
        <v>7000</v>
      </c>
      <c r="H831" t="s">
        <v>1313</v>
      </c>
    </row>
    <row r="832" spans="1:8" x14ac:dyDescent="0.3">
      <c r="A832" t="s">
        <v>838</v>
      </c>
      <c r="B832" t="s">
        <v>965</v>
      </c>
      <c r="C832" t="s">
        <v>1273</v>
      </c>
      <c r="D832" t="s">
        <v>1289</v>
      </c>
      <c r="E832">
        <v>9</v>
      </c>
      <c r="F832">
        <v>91</v>
      </c>
      <c r="G832">
        <v>819</v>
      </c>
      <c r="H832" t="s">
        <v>1315</v>
      </c>
    </row>
    <row r="833" spans="1:8" x14ac:dyDescent="0.3">
      <c r="A833" t="s">
        <v>839</v>
      </c>
      <c r="B833" t="s">
        <v>969</v>
      </c>
      <c r="C833" t="s">
        <v>1274</v>
      </c>
      <c r="D833" t="s">
        <v>1290</v>
      </c>
      <c r="E833">
        <v>8</v>
      </c>
      <c r="F833">
        <v>318</v>
      </c>
      <c r="G833">
        <v>2544</v>
      </c>
      <c r="H833" t="s">
        <v>1316</v>
      </c>
    </row>
    <row r="834" spans="1:8" x14ac:dyDescent="0.3">
      <c r="A834" t="s">
        <v>840</v>
      </c>
      <c r="B834" t="s">
        <v>1250</v>
      </c>
      <c r="C834" t="s">
        <v>1276</v>
      </c>
      <c r="D834" t="s">
        <v>1290</v>
      </c>
      <c r="E834">
        <v>2</v>
      </c>
      <c r="F834">
        <v>847</v>
      </c>
      <c r="G834">
        <v>1694</v>
      </c>
      <c r="H834" t="s">
        <v>1314</v>
      </c>
    </row>
    <row r="835" spans="1:8" x14ac:dyDescent="0.3">
      <c r="A835" t="s">
        <v>841</v>
      </c>
      <c r="B835" t="s">
        <v>1174</v>
      </c>
      <c r="C835" t="s">
        <v>1277</v>
      </c>
      <c r="D835" t="s">
        <v>1289</v>
      </c>
      <c r="E835">
        <v>6</v>
      </c>
      <c r="F835">
        <v>835</v>
      </c>
      <c r="G835">
        <v>5010</v>
      </c>
      <c r="H835" t="s">
        <v>1315</v>
      </c>
    </row>
    <row r="836" spans="1:8" x14ac:dyDescent="0.3">
      <c r="A836" t="s">
        <v>842</v>
      </c>
      <c r="B836" t="s">
        <v>1088</v>
      </c>
      <c r="C836" t="s">
        <v>1275</v>
      </c>
      <c r="D836" t="s">
        <v>1289</v>
      </c>
      <c r="E836">
        <v>2</v>
      </c>
      <c r="F836">
        <v>112</v>
      </c>
      <c r="G836">
        <v>224</v>
      </c>
      <c r="H836" t="s">
        <v>1314</v>
      </c>
    </row>
    <row r="837" spans="1:8" x14ac:dyDescent="0.3">
      <c r="A837" t="s">
        <v>843</v>
      </c>
      <c r="B837" t="s">
        <v>915</v>
      </c>
      <c r="C837" t="s">
        <v>1279</v>
      </c>
      <c r="D837" t="s">
        <v>1289</v>
      </c>
      <c r="E837">
        <v>3</v>
      </c>
      <c r="F837">
        <v>351</v>
      </c>
      <c r="G837">
        <v>1053</v>
      </c>
      <c r="H837" t="s">
        <v>1316</v>
      </c>
    </row>
    <row r="838" spans="1:8" x14ac:dyDescent="0.3">
      <c r="A838" t="s">
        <v>844</v>
      </c>
      <c r="B838" t="s">
        <v>1112</v>
      </c>
      <c r="C838" t="s">
        <v>1281</v>
      </c>
      <c r="D838" t="s">
        <v>1289</v>
      </c>
      <c r="E838">
        <v>2</v>
      </c>
      <c r="F838">
        <v>396</v>
      </c>
      <c r="G838">
        <v>792</v>
      </c>
      <c r="H838" t="s">
        <v>1313</v>
      </c>
    </row>
    <row r="839" spans="1:8" x14ac:dyDescent="0.3">
      <c r="A839" t="s">
        <v>845</v>
      </c>
      <c r="B839" t="s">
        <v>1181</v>
      </c>
      <c r="C839" t="s">
        <v>1273</v>
      </c>
      <c r="D839" t="s">
        <v>1289</v>
      </c>
      <c r="E839">
        <v>7</v>
      </c>
      <c r="F839">
        <v>424</v>
      </c>
      <c r="G839">
        <v>2968</v>
      </c>
      <c r="H839" t="s">
        <v>1315</v>
      </c>
    </row>
    <row r="840" spans="1:8" x14ac:dyDescent="0.3">
      <c r="A840" t="s">
        <v>846</v>
      </c>
      <c r="B840" t="s">
        <v>1265</v>
      </c>
      <c r="C840" t="s">
        <v>1275</v>
      </c>
      <c r="D840" t="s">
        <v>1289</v>
      </c>
      <c r="E840">
        <v>8</v>
      </c>
      <c r="F840">
        <v>834</v>
      </c>
      <c r="G840">
        <v>6672</v>
      </c>
      <c r="H840" t="s">
        <v>1313</v>
      </c>
    </row>
    <row r="841" spans="1:8" x14ac:dyDescent="0.3">
      <c r="A841" t="s">
        <v>847</v>
      </c>
      <c r="B841" t="s">
        <v>1096</v>
      </c>
      <c r="C841" t="s">
        <v>1273</v>
      </c>
      <c r="D841" t="s">
        <v>1289</v>
      </c>
      <c r="E841">
        <v>3</v>
      </c>
      <c r="F841">
        <v>727</v>
      </c>
      <c r="G841">
        <v>2181</v>
      </c>
      <c r="H841" t="s">
        <v>1313</v>
      </c>
    </row>
    <row r="842" spans="1:8" x14ac:dyDescent="0.3">
      <c r="A842" t="s">
        <v>848</v>
      </c>
      <c r="B842" t="s">
        <v>1039</v>
      </c>
      <c r="C842" t="s">
        <v>1273</v>
      </c>
      <c r="D842" t="s">
        <v>1289</v>
      </c>
      <c r="E842">
        <v>7</v>
      </c>
      <c r="F842">
        <v>619</v>
      </c>
      <c r="G842">
        <v>4333</v>
      </c>
      <c r="H842" t="s">
        <v>1316</v>
      </c>
    </row>
    <row r="843" spans="1:8" x14ac:dyDescent="0.3">
      <c r="A843" t="s">
        <v>849</v>
      </c>
      <c r="B843" t="s">
        <v>1266</v>
      </c>
      <c r="C843" t="s">
        <v>1287</v>
      </c>
      <c r="D843" t="s">
        <v>1291</v>
      </c>
      <c r="E843">
        <v>10</v>
      </c>
      <c r="F843">
        <v>403</v>
      </c>
      <c r="G843">
        <v>4030</v>
      </c>
      <c r="H843" t="s">
        <v>1314</v>
      </c>
    </row>
    <row r="844" spans="1:8" x14ac:dyDescent="0.3">
      <c r="A844" t="s">
        <v>850</v>
      </c>
      <c r="B844" t="s">
        <v>936</v>
      </c>
      <c r="C844" t="s">
        <v>1279</v>
      </c>
      <c r="D844" t="s">
        <v>1289</v>
      </c>
      <c r="E844">
        <v>8</v>
      </c>
      <c r="F844">
        <v>514</v>
      </c>
      <c r="G844">
        <v>4112</v>
      </c>
      <c r="H844" t="s">
        <v>1316</v>
      </c>
    </row>
    <row r="845" spans="1:8" x14ac:dyDescent="0.3">
      <c r="A845" t="s">
        <v>851</v>
      </c>
      <c r="B845" t="s">
        <v>1267</v>
      </c>
      <c r="C845" t="s">
        <v>1282</v>
      </c>
      <c r="D845" t="s">
        <v>1290</v>
      </c>
      <c r="E845">
        <v>1</v>
      </c>
      <c r="F845">
        <v>79</v>
      </c>
      <c r="G845">
        <v>79</v>
      </c>
      <c r="H845" t="s">
        <v>1315</v>
      </c>
    </row>
    <row r="846" spans="1:8" x14ac:dyDescent="0.3">
      <c r="A846" t="s">
        <v>852</v>
      </c>
      <c r="B846" t="s">
        <v>1192</v>
      </c>
      <c r="C846" t="s">
        <v>1276</v>
      </c>
      <c r="D846" t="s">
        <v>1290</v>
      </c>
      <c r="E846">
        <v>9</v>
      </c>
      <c r="F846">
        <v>800</v>
      </c>
      <c r="G846">
        <v>7200</v>
      </c>
      <c r="H846" t="s">
        <v>1313</v>
      </c>
    </row>
    <row r="847" spans="1:8" x14ac:dyDescent="0.3">
      <c r="A847" t="s">
        <v>853</v>
      </c>
      <c r="B847" t="s">
        <v>1051</v>
      </c>
      <c r="C847" t="s">
        <v>1280</v>
      </c>
      <c r="D847" t="s">
        <v>1290</v>
      </c>
      <c r="E847">
        <v>9</v>
      </c>
      <c r="F847">
        <v>550</v>
      </c>
      <c r="G847">
        <v>4950</v>
      </c>
      <c r="H847" t="s">
        <v>1314</v>
      </c>
    </row>
    <row r="848" spans="1:8" x14ac:dyDescent="0.3">
      <c r="A848" t="s">
        <v>854</v>
      </c>
      <c r="B848" t="s">
        <v>1188</v>
      </c>
      <c r="C848" t="s">
        <v>1275</v>
      </c>
      <c r="D848" t="s">
        <v>1289</v>
      </c>
      <c r="E848">
        <v>4</v>
      </c>
      <c r="F848">
        <v>508</v>
      </c>
      <c r="G848">
        <v>2032</v>
      </c>
      <c r="H848" t="s">
        <v>1316</v>
      </c>
    </row>
    <row r="849" spans="1:8" x14ac:dyDescent="0.3">
      <c r="A849" t="s">
        <v>855</v>
      </c>
      <c r="B849" t="s">
        <v>1041</v>
      </c>
      <c r="C849" t="s">
        <v>1279</v>
      </c>
      <c r="D849" t="s">
        <v>1289</v>
      </c>
      <c r="E849">
        <v>9</v>
      </c>
      <c r="F849">
        <v>642</v>
      </c>
      <c r="G849">
        <v>5778</v>
      </c>
      <c r="H849" t="s">
        <v>1314</v>
      </c>
    </row>
    <row r="850" spans="1:8" x14ac:dyDescent="0.3">
      <c r="A850" t="s">
        <v>856</v>
      </c>
      <c r="B850" t="s">
        <v>982</v>
      </c>
      <c r="C850" t="s">
        <v>1287</v>
      </c>
      <c r="D850" t="s">
        <v>1289</v>
      </c>
      <c r="E850">
        <v>9</v>
      </c>
      <c r="F850">
        <v>884</v>
      </c>
      <c r="G850">
        <v>7956</v>
      </c>
      <c r="H850" t="s">
        <v>1316</v>
      </c>
    </row>
    <row r="851" spans="1:8" x14ac:dyDescent="0.3">
      <c r="A851" t="s">
        <v>857</v>
      </c>
      <c r="B851" t="s">
        <v>1220</v>
      </c>
      <c r="C851" t="s">
        <v>1279</v>
      </c>
      <c r="D851" t="s">
        <v>1289</v>
      </c>
      <c r="E851">
        <v>2</v>
      </c>
      <c r="F851">
        <v>784</v>
      </c>
      <c r="G851">
        <v>1568</v>
      </c>
      <c r="H851" t="s">
        <v>1315</v>
      </c>
    </row>
    <row r="852" spans="1:8" x14ac:dyDescent="0.3">
      <c r="A852" t="s">
        <v>858</v>
      </c>
      <c r="B852" t="s">
        <v>1241</v>
      </c>
      <c r="C852" t="s">
        <v>1274</v>
      </c>
      <c r="D852" t="s">
        <v>1290</v>
      </c>
      <c r="E852">
        <v>6</v>
      </c>
      <c r="F852">
        <v>299</v>
      </c>
      <c r="G852">
        <v>1794</v>
      </c>
      <c r="H852" t="s">
        <v>1313</v>
      </c>
    </row>
    <row r="853" spans="1:8" x14ac:dyDescent="0.3">
      <c r="A853" t="s">
        <v>859</v>
      </c>
      <c r="B853" t="s">
        <v>996</v>
      </c>
      <c r="C853" t="s">
        <v>1275</v>
      </c>
      <c r="D853" t="s">
        <v>1289</v>
      </c>
      <c r="E853">
        <v>7</v>
      </c>
      <c r="F853">
        <v>851</v>
      </c>
      <c r="G853">
        <v>5957</v>
      </c>
      <c r="H853" t="s">
        <v>1314</v>
      </c>
    </row>
    <row r="854" spans="1:8" x14ac:dyDescent="0.3">
      <c r="A854" t="s">
        <v>860</v>
      </c>
      <c r="B854" t="s">
        <v>1170</v>
      </c>
      <c r="C854" t="s">
        <v>1282</v>
      </c>
      <c r="D854" t="s">
        <v>1290</v>
      </c>
      <c r="E854">
        <v>8</v>
      </c>
      <c r="F854">
        <v>835</v>
      </c>
      <c r="G854">
        <v>6680</v>
      </c>
      <c r="H854" t="s">
        <v>1316</v>
      </c>
    </row>
    <row r="855" spans="1:8" x14ac:dyDescent="0.3">
      <c r="A855" t="s">
        <v>861</v>
      </c>
      <c r="B855" t="s">
        <v>1056</v>
      </c>
      <c r="C855" t="s">
        <v>1273</v>
      </c>
      <c r="D855" t="s">
        <v>1289</v>
      </c>
      <c r="E855">
        <v>8</v>
      </c>
      <c r="F855">
        <v>472</v>
      </c>
      <c r="G855">
        <v>3776</v>
      </c>
      <c r="H855" t="s">
        <v>1314</v>
      </c>
    </row>
    <row r="856" spans="1:8" x14ac:dyDescent="0.3">
      <c r="A856" t="s">
        <v>862</v>
      </c>
      <c r="B856" t="s">
        <v>950</v>
      </c>
      <c r="C856" t="s">
        <v>1282</v>
      </c>
      <c r="D856" t="s">
        <v>1290</v>
      </c>
      <c r="E856">
        <v>0</v>
      </c>
      <c r="F856">
        <v>120</v>
      </c>
      <c r="G856">
        <v>120</v>
      </c>
      <c r="H856" t="s">
        <v>1316</v>
      </c>
    </row>
    <row r="857" spans="1:8" x14ac:dyDescent="0.3">
      <c r="A857" t="s">
        <v>863</v>
      </c>
      <c r="B857" t="s">
        <v>1268</v>
      </c>
      <c r="C857" t="s">
        <v>1285</v>
      </c>
      <c r="D857" t="s">
        <v>1290</v>
      </c>
      <c r="E857">
        <v>9</v>
      </c>
      <c r="F857">
        <v>577</v>
      </c>
      <c r="G857">
        <v>5193</v>
      </c>
      <c r="H857" t="s">
        <v>1314</v>
      </c>
    </row>
    <row r="858" spans="1:8" x14ac:dyDescent="0.3">
      <c r="A858" t="s">
        <v>864</v>
      </c>
      <c r="B858" t="s">
        <v>1216</v>
      </c>
      <c r="C858" t="s">
        <v>1277</v>
      </c>
      <c r="D858" t="s">
        <v>1289</v>
      </c>
      <c r="E858">
        <v>9</v>
      </c>
      <c r="F858">
        <v>590</v>
      </c>
      <c r="G858">
        <v>5310</v>
      </c>
      <c r="H858" t="s">
        <v>1316</v>
      </c>
    </row>
    <row r="859" spans="1:8" x14ac:dyDescent="0.3">
      <c r="A859" t="s">
        <v>865</v>
      </c>
      <c r="B859" t="s">
        <v>1041</v>
      </c>
      <c r="C859" t="s">
        <v>1280</v>
      </c>
      <c r="D859" t="s">
        <v>1290</v>
      </c>
      <c r="E859">
        <v>6</v>
      </c>
      <c r="F859">
        <v>860</v>
      </c>
      <c r="G859">
        <v>5160</v>
      </c>
      <c r="H859" t="s">
        <v>1313</v>
      </c>
    </row>
    <row r="860" spans="1:8" x14ac:dyDescent="0.3">
      <c r="A860" t="s">
        <v>866</v>
      </c>
      <c r="B860" t="s">
        <v>1269</v>
      </c>
      <c r="C860" t="s">
        <v>1282</v>
      </c>
      <c r="D860" t="s">
        <v>1290</v>
      </c>
      <c r="E860">
        <v>6</v>
      </c>
      <c r="F860">
        <v>588</v>
      </c>
      <c r="G860">
        <v>3528</v>
      </c>
      <c r="H860" t="s">
        <v>1316</v>
      </c>
    </row>
    <row r="861" spans="1:8" x14ac:dyDescent="0.3">
      <c r="A861" t="s">
        <v>867</v>
      </c>
      <c r="B861" t="s">
        <v>1089</v>
      </c>
      <c r="C861" t="s">
        <v>1280</v>
      </c>
      <c r="D861" t="s">
        <v>1290</v>
      </c>
      <c r="E861">
        <v>8</v>
      </c>
      <c r="F861">
        <v>131</v>
      </c>
      <c r="G861">
        <v>1048</v>
      </c>
      <c r="H861" t="s">
        <v>1313</v>
      </c>
    </row>
    <row r="862" spans="1:8" x14ac:dyDescent="0.3">
      <c r="A862" t="s">
        <v>868</v>
      </c>
      <c r="B862" t="s">
        <v>1098</v>
      </c>
      <c r="C862" t="s">
        <v>1276</v>
      </c>
      <c r="D862" t="s">
        <v>1290</v>
      </c>
      <c r="E862">
        <v>6</v>
      </c>
      <c r="F862">
        <v>378</v>
      </c>
      <c r="G862">
        <v>2268</v>
      </c>
      <c r="H862" t="s">
        <v>1315</v>
      </c>
    </row>
    <row r="863" spans="1:8" x14ac:dyDescent="0.3">
      <c r="A863" t="s">
        <v>869</v>
      </c>
      <c r="B863" t="s">
        <v>939</v>
      </c>
      <c r="C863" t="s">
        <v>1280</v>
      </c>
      <c r="D863" t="s">
        <v>1290</v>
      </c>
      <c r="E863">
        <v>2</v>
      </c>
      <c r="F863">
        <v>61</v>
      </c>
      <c r="G863">
        <v>122</v>
      </c>
      <c r="H863" t="s">
        <v>1316</v>
      </c>
    </row>
    <row r="864" spans="1:8" x14ac:dyDescent="0.3">
      <c r="A864" t="s">
        <v>870</v>
      </c>
      <c r="B864" t="s">
        <v>990</v>
      </c>
      <c r="C864" t="s">
        <v>1279</v>
      </c>
      <c r="D864" t="s">
        <v>1289</v>
      </c>
      <c r="E864">
        <v>7</v>
      </c>
      <c r="F864">
        <v>124</v>
      </c>
      <c r="G864">
        <v>868</v>
      </c>
      <c r="H864" t="s">
        <v>1313</v>
      </c>
    </row>
    <row r="865" spans="1:8" x14ac:dyDescent="0.3">
      <c r="A865" t="s">
        <v>871</v>
      </c>
      <c r="B865" t="s">
        <v>1186</v>
      </c>
      <c r="C865" t="s">
        <v>1274</v>
      </c>
      <c r="D865" t="s">
        <v>1290</v>
      </c>
      <c r="E865">
        <v>2</v>
      </c>
      <c r="F865">
        <v>887</v>
      </c>
      <c r="G865">
        <v>1774</v>
      </c>
      <c r="H865" t="s">
        <v>1313</v>
      </c>
    </row>
    <row r="866" spans="1:8" x14ac:dyDescent="0.3">
      <c r="A866" t="s">
        <v>872</v>
      </c>
      <c r="B866" t="s">
        <v>1107</v>
      </c>
      <c r="C866" t="s">
        <v>1282</v>
      </c>
      <c r="D866" t="s">
        <v>1290</v>
      </c>
      <c r="E866">
        <v>4</v>
      </c>
      <c r="F866">
        <v>748</v>
      </c>
      <c r="G866">
        <v>2992</v>
      </c>
      <c r="H866" t="s">
        <v>1314</v>
      </c>
    </row>
    <row r="867" spans="1:8" x14ac:dyDescent="0.3">
      <c r="A867" t="s">
        <v>873</v>
      </c>
      <c r="B867" t="s">
        <v>1085</v>
      </c>
      <c r="C867" t="s">
        <v>1275</v>
      </c>
      <c r="D867" t="s">
        <v>1289</v>
      </c>
      <c r="E867">
        <v>1</v>
      </c>
      <c r="F867">
        <v>663</v>
      </c>
      <c r="G867">
        <v>663</v>
      </c>
      <c r="H867" t="s">
        <v>1314</v>
      </c>
    </row>
    <row r="868" spans="1:8" x14ac:dyDescent="0.3">
      <c r="A868" t="s">
        <v>874</v>
      </c>
      <c r="B868" t="s">
        <v>912</v>
      </c>
      <c r="C868" t="s">
        <v>1282</v>
      </c>
      <c r="D868" t="s">
        <v>1290</v>
      </c>
      <c r="E868">
        <v>8</v>
      </c>
      <c r="F868">
        <v>689</v>
      </c>
      <c r="G868">
        <v>5512</v>
      </c>
      <c r="H868" t="s">
        <v>1313</v>
      </c>
    </row>
    <row r="869" spans="1:8" x14ac:dyDescent="0.3">
      <c r="A869" t="s">
        <v>875</v>
      </c>
      <c r="B869" t="s">
        <v>1140</v>
      </c>
      <c r="C869" t="s">
        <v>1282</v>
      </c>
      <c r="D869" t="s">
        <v>1290</v>
      </c>
      <c r="E869">
        <v>1</v>
      </c>
      <c r="F869">
        <v>558</v>
      </c>
      <c r="G869">
        <v>558</v>
      </c>
      <c r="H869" t="s">
        <v>1316</v>
      </c>
    </row>
    <row r="870" spans="1:8" x14ac:dyDescent="0.3">
      <c r="A870" t="s">
        <v>876</v>
      </c>
      <c r="B870" t="s">
        <v>999</v>
      </c>
      <c r="C870" t="s">
        <v>1282</v>
      </c>
      <c r="D870" t="s">
        <v>1292</v>
      </c>
      <c r="E870">
        <v>9</v>
      </c>
      <c r="F870">
        <v>814</v>
      </c>
      <c r="G870">
        <v>7326</v>
      </c>
      <c r="H870" t="s">
        <v>1313</v>
      </c>
    </row>
    <row r="871" spans="1:8" x14ac:dyDescent="0.3">
      <c r="A871" t="s">
        <v>877</v>
      </c>
      <c r="B871" t="s">
        <v>1270</v>
      </c>
      <c r="C871" t="s">
        <v>1279</v>
      </c>
      <c r="D871" t="s">
        <v>1289</v>
      </c>
      <c r="E871">
        <v>2</v>
      </c>
      <c r="F871">
        <v>411</v>
      </c>
      <c r="G871">
        <v>822</v>
      </c>
      <c r="H871" t="s">
        <v>1315</v>
      </c>
    </row>
    <row r="872" spans="1:8" x14ac:dyDescent="0.3">
      <c r="A872" t="s">
        <v>878</v>
      </c>
      <c r="B872" t="s">
        <v>1121</v>
      </c>
      <c r="C872" t="s">
        <v>1275</v>
      </c>
      <c r="D872" t="s">
        <v>1289</v>
      </c>
      <c r="E872">
        <v>7</v>
      </c>
      <c r="F872">
        <v>638</v>
      </c>
      <c r="G872">
        <v>4466</v>
      </c>
      <c r="H872" t="s">
        <v>1313</v>
      </c>
    </row>
    <row r="873" spans="1:8" x14ac:dyDescent="0.3">
      <c r="A873" t="s">
        <v>879</v>
      </c>
      <c r="B873" t="s">
        <v>917</v>
      </c>
      <c r="C873" t="s">
        <v>1277</v>
      </c>
      <c r="D873" t="s">
        <v>1289</v>
      </c>
      <c r="E873">
        <v>0</v>
      </c>
      <c r="F873">
        <v>366</v>
      </c>
      <c r="H873" t="s">
        <v>1316</v>
      </c>
    </row>
    <row r="874" spans="1:8" x14ac:dyDescent="0.3">
      <c r="A874" t="s">
        <v>880</v>
      </c>
      <c r="B874" t="s">
        <v>1143</v>
      </c>
      <c r="C874" t="s">
        <v>1279</v>
      </c>
      <c r="D874" t="s">
        <v>1289</v>
      </c>
      <c r="E874">
        <v>0</v>
      </c>
      <c r="F874">
        <v>437</v>
      </c>
      <c r="G874">
        <v>1311</v>
      </c>
      <c r="H874" t="s">
        <v>1315</v>
      </c>
    </row>
    <row r="875" spans="1:8" x14ac:dyDescent="0.3">
      <c r="A875" t="s">
        <v>881</v>
      </c>
      <c r="B875" t="s">
        <v>1182</v>
      </c>
      <c r="C875" t="s">
        <v>1280</v>
      </c>
      <c r="D875" t="s">
        <v>1290</v>
      </c>
      <c r="E875">
        <v>9</v>
      </c>
      <c r="F875">
        <v>662</v>
      </c>
      <c r="G875">
        <v>5958</v>
      </c>
      <c r="H875" t="s">
        <v>1313</v>
      </c>
    </row>
    <row r="876" spans="1:8" x14ac:dyDescent="0.3">
      <c r="A876" t="s">
        <v>882</v>
      </c>
      <c r="B876" t="s">
        <v>1176</v>
      </c>
      <c r="C876" t="s">
        <v>1274</v>
      </c>
      <c r="D876" t="s">
        <v>1290</v>
      </c>
      <c r="E876">
        <v>10</v>
      </c>
      <c r="F876">
        <v>746</v>
      </c>
      <c r="G876">
        <v>7460</v>
      </c>
      <c r="H876" t="s">
        <v>1315</v>
      </c>
    </row>
    <row r="877" spans="1:8" x14ac:dyDescent="0.3">
      <c r="A877" t="s">
        <v>883</v>
      </c>
      <c r="B877" t="s">
        <v>1254</v>
      </c>
      <c r="C877" t="s">
        <v>1279</v>
      </c>
      <c r="D877" t="s">
        <v>1289</v>
      </c>
      <c r="E877">
        <v>3</v>
      </c>
      <c r="F877">
        <v>530</v>
      </c>
      <c r="G877">
        <v>1590</v>
      </c>
      <c r="H877" t="s">
        <v>1315</v>
      </c>
    </row>
    <row r="878" spans="1:8" x14ac:dyDescent="0.3">
      <c r="A878" t="s">
        <v>884</v>
      </c>
      <c r="B878" t="s">
        <v>1135</v>
      </c>
      <c r="C878" t="s">
        <v>1273</v>
      </c>
      <c r="D878" t="s">
        <v>1289</v>
      </c>
      <c r="E878">
        <v>6</v>
      </c>
      <c r="F878">
        <v>590</v>
      </c>
      <c r="G878">
        <v>3540</v>
      </c>
      <c r="H878" t="s">
        <v>1316</v>
      </c>
    </row>
    <row r="879" spans="1:8" x14ac:dyDescent="0.3">
      <c r="A879" t="s">
        <v>885</v>
      </c>
      <c r="B879" t="s">
        <v>1042</v>
      </c>
      <c r="C879" t="s">
        <v>1277</v>
      </c>
      <c r="D879" t="s">
        <v>1289</v>
      </c>
      <c r="E879">
        <v>7</v>
      </c>
      <c r="F879">
        <v>842</v>
      </c>
      <c r="G879">
        <v>5894</v>
      </c>
      <c r="H879" t="s">
        <v>1314</v>
      </c>
    </row>
    <row r="880" spans="1:8" x14ac:dyDescent="0.3">
      <c r="A880" t="s">
        <v>886</v>
      </c>
      <c r="B880" t="s">
        <v>1041</v>
      </c>
      <c r="C880" t="s">
        <v>1276</v>
      </c>
      <c r="D880" t="s">
        <v>1290</v>
      </c>
      <c r="E880">
        <v>7</v>
      </c>
      <c r="F880">
        <v>163</v>
      </c>
      <c r="G880">
        <v>1141</v>
      </c>
      <c r="H880" t="s">
        <v>1314</v>
      </c>
    </row>
    <row r="881" spans="1:8" x14ac:dyDescent="0.3">
      <c r="A881" t="s">
        <v>887</v>
      </c>
      <c r="B881" t="s">
        <v>935</v>
      </c>
      <c r="C881" t="s">
        <v>1274</v>
      </c>
      <c r="D881" t="s">
        <v>1290</v>
      </c>
      <c r="E881">
        <v>5</v>
      </c>
      <c r="F881">
        <v>783</v>
      </c>
      <c r="G881">
        <v>3915</v>
      </c>
      <c r="H881" t="s">
        <v>1315</v>
      </c>
    </row>
    <row r="882" spans="1:8" x14ac:dyDescent="0.3">
      <c r="A882" t="s">
        <v>888</v>
      </c>
      <c r="B882" t="s">
        <v>1193</v>
      </c>
      <c r="C882" t="s">
        <v>1277</v>
      </c>
      <c r="D882" t="s">
        <v>1289</v>
      </c>
      <c r="E882">
        <v>3</v>
      </c>
      <c r="F882">
        <v>874</v>
      </c>
      <c r="G882">
        <v>2622</v>
      </c>
      <c r="H882" t="s">
        <v>1315</v>
      </c>
    </row>
    <row r="883" spans="1:8" x14ac:dyDescent="0.3">
      <c r="A883" t="s">
        <v>889</v>
      </c>
      <c r="B883" t="s">
        <v>915</v>
      </c>
      <c r="C883" t="s">
        <v>1274</v>
      </c>
      <c r="D883" t="s">
        <v>1290</v>
      </c>
      <c r="E883">
        <v>9</v>
      </c>
      <c r="F883">
        <v>48</v>
      </c>
      <c r="G883">
        <v>432</v>
      </c>
      <c r="H883" t="s">
        <v>1316</v>
      </c>
    </row>
    <row r="884" spans="1:8" x14ac:dyDescent="0.3">
      <c r="A884" t="s">
        <v>890</v>
      </c>
      <c r="B884" t="s">
        <v>1086</v>
      </c>
      <c r="C884" t="s">
        <v>1273</v>
      </c>
      <c r="D884" t="s">
        <v>1289</v>
      </c>
      <c r="E884">
        <v>10</v>
      </c>
      <c r="F884">
        <v>706</v>
      </c>
      <c r="G884">
        <v>7060</v>
      </c>
      <c r="H884" t="s">
        <v>1313</v>
      </c>
    </row>
    <row r="885" spans="1:8" x14ac:dyDescent="0.3">
      <c r="A885" t="s">
        <v>891</v>
      </c>
      <c r="B885" t="s">
        <v>994</v>
      </c>
      <c r="C885" t="s">
        <v>1275</v>
      </c>
      <c r="D885" t="s">
        <v>1289</v>
      </c>
      <c r="E885">
        <v>4</v>
      </c>
      <c r="F885">
        <v>538</v>
      </c>
      <c r="G885">
        <v>2152</v>
      </c>
      <c r="H885" t="s">
        <v>1315</v>
      </c>
    </row>
    <row r="886" spans="1:8" x14ac:dyDescent="0.3">
      <c r="A886" t="s">
        <v>892</v>
      </c>
      <c r="B886" t="s">
        <v>1132</v>
      </c>
      <c r="C886" t="s">
        <v>1276</v>
      </c>
      <c r="D886" t="s">
        <v>1290</v>
      </c>
      <c r="E886">
        <v>7</v>
      </c>
      <c r="F886">
        <v>411</v>
      </c>
      <c r="G886">
        <v>2877</v>
      </c>
      <c r="H886" t="s">
        <v>1315</v>
      </c>
    </row>
    <row r="887" spans="1:8" x14ac:dyDescent="0.3">
      <c r="A887" t="s">
        <v>893</v>
      </c>
      <c r="B887" t="s">
        <v>1080</v>
      </c>
      <c r="C887" t="s">
        <v>1285</v>
      </c>
      <c r="D887" t="s">
        <v>1290</v>
      </c>
      <c r="E887">
        <v>1</v>
      </c>
      <c r="F887">
        <v>776</v>
      </c>
      <c r="G887">
        <v>776</v>
      </c>
      <c r="H887" t="s">
        <v>1313</v>
      </c>
    </row>
    <row r="888" spans="1:8" x14ac:dyDescent="0.3">
      <c r="A888" t="s">
        <v>894</v>
      </c>
      <c r="B888" t="s">
        <v>1173</v>
      </c>
      <c r="C888" t="s">
        <v>1282</v>
      </c>
      <c r="D888" t="s">
        <v>1290</v>
      </c>
      <c r="E888">
        <v>4</v>
      </c>
      <c r="F888">
        <v>663</v>
      </c>
      <c r="G888">
        <v>2652</v>
      </c>
      <c r="H888" t="s">
        <v>1315</v>
      </c>
    </row>
    <row r="889" spans="1:8" x14ac:dyDescent="0.3">
      <c r="A889" t="s">
        <v>895</v>
      </c>
      <c r="B889" t="s">
        <v>1271</v>
      </c>
      <c r="C889" t="s">
        <v>1274</v>
      </c>
      <c r="D889" t="s">
        <v>1290</v>
      </c>
      <c r="E889">
        <v>4</v>
      </c>
      <c r="F889">
        <v>316</v>
      </c>
      <c r="G889">
        <v>1264</v>
      </c>
      <c r="H889" t="s">
        <v>1313</v>
      </c>
    </row>
    <row r="890" spans="1:8" x14ac:dyDescent="0.3">
      <c r="A890" t="s">
        <v>896</v>
      </c>
      <c r="B890" t="s">
        <v>1272</v>
      </c>
      <c r="C890" t="s">
        <v>1273</v>
      </c>
      <c r="D890" t="s">
        <v>1289</v>
      </c>
      <c r="E890">
        <v>3</v>
      </c>
      <c r="F890">
        <v>192</v>
      </c>
      <c r="G890">
        <v>576</v>
      </c>
      <c r="H890" t="s">
        <v>1314</v>
      </c>
    </row>
    <row r="891" spans="1:8" x14ac:dyDescent="0.3">
      <c r="A891" t="s">
        <v>897</v>
      </c>
      <c r="B891" t="s">
        <v>952</v>
      </c>
      <c r="C891" t="s">
        <v>1275</v>
      </c>
      <c r="D891" t="s">
        <v>1289</v>
      </c>
      <c r="E891">
        <v>1</v>
      </c>
      <c r="F891">
        <v>453</v>
      </c>
      <c r="G891">
        <v>453</v>
      </c>
      <c r="H891" t="s">
        <v>1315</v>
      </c>
    </row>
    <row r="892" spans="1:8" x14ac:dyDescent="0.3">
      <c r="A892" t="s">
        <v>898</v>
      </c>
      <c r="B892" t="s">
        <v>990</v>
      </c>
      <c r="C892" t="s">
        <v>1279</v>
      </c>
      <c r="D892" t="s">
        <v>1289</v>
      </c>
      <c r="E892">
        <v>3</v>
      </c>
      <c r="F892">
        <v>613</v>
      </c>
      <c r="G892">
        <v>1839</v>
      </c>
      <c r="H892" t="s">
        <v>1314</v>
      </c>
    </row>
    <row r="893" spans="1:8" x14ac:dyDescent="0.3">
      <c r="A893" t="s">
        <v>899</v>
      </c>
      <c r="B893" t="s">
        <v>1120</v>
      </c>
      <c r="C893" t="s">
        <v>1280</v>
      </c>
      <c r="D893" t="s">
        <v>1290</v>
      </c>
      <c r="E893">
        <v>8</v>
      </c>
      <c r="F893">
        <v>741</v>
      </c>
      <c r="G893">
        <v>5928</v>
      </c>
      <c r="H893" t="s">
        <v>1314</v>
      </c>
    </row>
    <row r="894" spans="1:8" x14ac:dyDescent="0.3">
      <c r="A894" t="s">
        <v>900</v>
      </c>
      <c r="B894" t="s">
        <v>972</v>
      </c>
      <c r="C894" t="s">
        <v>1279</v>
      </c>
      <c r="D894" t="s">
        <v>1289</v>
      </c>
      <c r="E894">
        <v>6</v>
      </c>
      <c r="F894">
        <v>626</v>
      </c>
      <c r="G894">
        <v>3756</v>
      </c>
      <c r="H894" t="s">
        <v>1315</v>
      </c>
    </row>
    <row r="895" spans="1:8" x14ac:dyDescent="0.3">
      <c r="A895" t="s">
        <v>901</v>
      </c>
      <c r="B895" t="s">
        <v>915</v>
      </c>
      <c r="C895" t="s">
        <v>1282</v>
      </c>
      <c r="D895" t="s">
        <v>1290</v>
      </c>
      <c r="E895">
        <v>10</v>
      </c>
      <c r="F895">
        <v>578</v>
      </c>
      <c r="G895">
        <v>5780</v>
      </c>
      <c r="H895" t="s">
        <v>1314</v>
      </c>
    </row>
    <row r="896" spans="1:8" x14ac:dyDescent="0.3">
      <c r="A896" t="s">
        <v>902</v>
      </c>
      <c r="B896" t="s">
        <v>1201</v>
      </c>
      <c r="C896" t="s">
        <v>1280</v>
      </c>
      <c r="D896" t="s">
        <v>1290</v>
      </c>
      <c r="E896">
        <v>9</v>
      </c>
      <c r="F896">
        <v>240</v>
      </c>
      <c r="G896">
        <v>2160</v>
      </c>
      <c r="H896" t="s">
        <v>1314</v>
      </c>
    </row>
    <row r="897" spans="1:8" x14ac:dyDescent="0.3">
      <c r="A897" t="s">
        <v>903</v>
      </c>
      <c r="B897" t="s">
        <v>1038</v>
      </c>
      <c r="C897" t="s">
        <v>1279</v>
      </c>
      <c r="D897" t="s">
        <v>1289</v>
      </c>
      <c r="E897">
        <v>7</v>
      </c>
      <c r="F897">
        <v>571</v>
      </c>
      <c r="H897" t="s">
        <v>1316</v>
      </c>
    </row>
    <row r="898" spans="1:8" x14ac:dyDescent="0.3">
      <c r="A898" t="s">
        <v>904</v>
      </c>
      <c r="B898" t="s">
        <v>1229</v>
      </c>
      <c r="C898" t="s">
        <v>1273</v>
      </c>
      <c r="D898" t="s">
        <v>1289</v>
      </c>
      <c r="E898">
        <v>6</v>
      </c>
      <c r="F898">
        <v>241</v>
      </c>
      <c r="G898">
        <v>1446</v>
      </c>
      <c r="H898" t="s">
        <v>1315</v>
      </c>
    </row>
    <row r="899" spans="1:8" x14ac:dyDescent="0.3">
      <c r="A899" t="s">
        <v>905</v>
      </c>
      <c r="B899" t="s">
        <v>1182</v>
      </c>
      <c r="C899" t="s">
        <v>1280</v>
      </c>
      <c r="D899" t="s">
        <v>1290</v>
      </c>
      <c r="E899">
        <v>6</v>
      </c>
      <c r="F899">
        <v>315</v>
      </c>
      <c r="G899">
        <v>1890</v>
      </c>
      <c r="H899" t="s">
        <v>1316</v>
      </c>
    </row>
    <row r="900" spans="1:8" x14ac:dyDescent="0.3">
      <c r="A900" t="s">
        <v>906</v>
      </c>
      <c r="B900" t="s">
        <v>1188</v>
      </c>
      <c r="C900" t="s">
        <v>1276</v>
      </c>
      <c r="D900" t="s">
        <v>1290</v>
      </c>
      <c r="E900">
        <v>2</v>
      </c>
      <c r="F900">
        <v>699</v>
      </c>
      <c r="G900">
        <v>1398</v>
      </c>
      <c r="H900" t="s">
        <v>1316</v>
      </c>
    </row>
    <row r="901" spans="1:8" x14ac:dyDescent="0.3">
      <c r="A901" t="s">
        <v>907</v>
      </c>
      <c r="B901" t="s">
        <v>1060</v>
      </c>
      <c r="C901" t="s">
        <v>1283</v>
      </c>
      <c r="D901" t="s">
        <v>1290</v>
      </c>
      <c r="E901">
        <v>10</v>
      </c>
      <c r="F901">
        <v>651</v>
      </c>
      <c r="G901">
        <v>6510</v>
      </c>
      <c r="H901" t="s">
        <v>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5657-CB41-4D39-B38C-B82FC621C667}">
  <dimension ref="A1:J857"/>
  <sheetViews>
    <sheetView topLeftCell="A833" workbookViewId="0">
      <selection activeCell="A219" sqref="A219:A857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1.109375" bestFit="1" customWidth="1"/>
    <col min="4" max="4" width="10.77734375" bestFit="1" customWidth="1"/>
    <col min="5" max="5" width="10.5546875" bestFit="1" customWidth="1"/>
    <col min="6" max="6" width="11.33203125" bestFit="1" customWidth="1"/>
    <col min="7" max="7" width="12.109375" bestFit="1" customWidth="1"/>
    <col min="8" max="8" width="9" bestFit="1" customWidth="1"/>
    <col min="10" max="10" width="1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1323</v>
      </c>
      <c r="J1" t="s">
        <v>1324</v>
      </c>
    </row>
    <row r="2" spans="1:10" x14ac:dyDescent="0.3">
      <c r="A2" t="s">
        <v>8</v>
      </c>
      <c r="B2" s="2">
        <v>45432</v>
      </c>
      <c r="C2" t="s">
        <v>1273</v>
      </c>
      <c r="D2" t="s">
        <v>1289</v>
      </c>
      <c r="E2">
        <v>1</v>
      </c>
      <c r="F2" s="3">
        <v>774</v>
      </c>
      <c r="G2" s="3">
        <v>774</v>
      </c>
      <c r="H2" t="s">
        <v>1313</v>
      </c>
      <c r="I2">
        <f>MONTH(Table1_1[[#This Row],[Order Date]])</f>
        <v>5</v>
      </c>
      <c r="J2" t="str">
        <f>TEXT(Table1_1[[#This Row],[Order Date]],"[$-en-US]mmm")</f>
        <v>May</v>
      </c>
    </row>
    <row r="3" spans="1:10" x14ac:dyDescent="0.3">
      <c r="A3" t="s">
        <v>9</v>
      </c>
      <c r="B3" s="2">
        <v>45344</v>
      </c>
      <c r="C3" t="s">
        <v>1274</v>
      </c>
      <c r="D3" t="s">
        <v>1290</v>
      </c>
      <c r="E3">
        <v>3</v>
      </c>
      <c r="F3" s="3">
        <v>769</v>
      </c>
      <c r="G3" s="3">
        <v>2307</v>
      </c>
      <c r="H3" t="s">
        <v>1314</v>
      </c>
      <c r="I3">
        <f>MONTH(Table1_1[[#This Row],[Order Date]])</f>
        <v>2</v>
      </c>
      <c r="J3" t="str">
        <f>TEXT(Table1_1[[#This Row],[Order Date]],"[$-en-US]mmm")</f>
        <v>Feb</v>
      </c>
    </row>
    <row r="4" spans="1:10" x14ac:dyDescent="0.3">
      <c r="A4" t="s">
        <v>10</v>
      </c>
      <c r="B4" s="2">
        <v>45339</v>
      </c>
      <c r="C4" t="s">
        <v>1275</v>
      </c>
      <c r="D4" t="s">
        <v>1289</v>
      </c>
      <c r="E4">
        <v>1</v>
      </c>
      <c r="F4" s="3">
        <v>45</v>
      </c>
      <c r="G4" s="3">
        <v>45</v>
      </c>
      <c r="H4" t="s">
        <v>1313</v>
      </c>
      <c r="I4">
        <f>MONTH(Table1_1[[#This Row],[Order Date]])</f>
        <v>2</v>
      </c>
      <c r="J4" t="str">
        <f>TEXT(Table1_1[[#This Row],[Order Date]],"[$-en-US]mmm")</f>
        <v>Feb</v>
      </c>
    </row>
    <row r="5" spans="1:10" x14ac:dyDescent="0.3">
      <c r="A5" t="s">
        <v>11</v>
      </c>
      <c r="B5" s="2">
        <v>45305</v>
      </c>
      <c r="C5" t="s">
        <v>1274</v>
      </c>
      <c r="D5" t="s">
        <v>1290</v>
      </c>
      <c r="E5">
        <v>9</v>
      </c>
      <c r="F5" s="3">
        <v>631</v>
      </c>
      <c r="G5" s="3">
        <v>5679</v>
      </c>
      <c r="H5" t="s">
        <v>1313</v>
      </c>
      <c r="I5">
        <f>MONTH(Table1_1[[#This Row],[Order Date]])</f>
        <v>1</v>
      </c>
      <c r="J5" t="str">
        <f>TEXT(Table1_1[[#This Row],[Order Date]],"[$-en-US]mmm")</f>
        <v>Jan</v>
      </c>
    </row>
    <row r="6" spans="1:10" x14ac:dyDescent="0.3">
      <c r="A6" t="s">
        <v>12</v>
      </c>
      <c r="B6" s="2">
        <v>45593</v>
      </c>
      <c r="C6" t="s">
        <v>1275</v>
      </c>
      <c r="D6" t="s">
        <v>1289</v>
      </c>
      <c r="E6">
        <v>4</v>
      </c>
      <c r="F6" s="3">
        <v>474</v>
      </c>
      <c r="G6" s="3">
        <v>1896</v>
      </c>
      <c r="H6" t="s">
        <v>1315</v>
      </c>
      <c r="I6">
        <f>MONTH(Table1_1[[#This Row],[Order Date]])</f>
        <v>10</v>
      </c>
      <c r="J6" t="str">
        <f>TEXT(Table1_1[[#This Row],[Order Date]],"[$-en-US]mmm")</f>
        <v>Oct</v>
      </c>
    </row>
    <row r="7" spans="1:10" x14ac:dyDescent="0.3">
      <c r="A7" t="s">
        <v>14</v>
      </c>
      <c r="B7" s="2">
        <v>45464</v>
      </c>
      <c r="C7" t="s">
        <v>1277</v>
      </c>
      <c r="D7" t="s">
        <v>1289</v>
      </c>
      <c r="E7">
        <v>3</v>
      </c>
      <c r="F7" s="3">
        <v>235</v>
      </c>
      <c r="G7" s="3">
        <v>705</v>
      </c>
      <c r="H7" t="s">
        <v>1314</v>
      </c>
      <c r="I7">
        <f>MONTH(Table1_1[[#This Row],[Order Date]])</f>
        <v>6</v>
      </c>
      <c r="J7" t="str">
        <f>TEXT(Table1_1[[#This Row],[Order Date]],"[$-en-US]mmm")</f>
        <v>Jun</v>
      </c>
    </row>
    <row r="8" spans="1:10" x14ac:dyDescent="0.3">
      <c r="A8" t="s">
        <v>15</v>
      </c>
      <c r="B8" s="2">
        <v>45475</v>
      </c>
      <c r="C8" t="s">
        <v>1273</v>
      </c>
      <c r="D8" t="s">
        <v>1289</v>
      </c>
      <c r="E8">
        <v>7</v>
      </c>
      <c r="F8" s="3">
        <v>114</v>
      </c>
      <c r="G8" s="3">
        <v>798</v>
      </c>
      <c r="H8" t="s">
        <v>1315</v>
      </c>
      <c r="I8">
        <f>MONTH(Table1_1[[#This Row],[Order Date]])</f>
        <v>7</v>
      </c>
      <c r="J8" t="str">
        <f>TEXT(Table1_1[[#This Row],[Order Date]],"[$-en-US]mmm")</f>
        <v>Jul</v>
      </c>
    </row>
    <row r="9" spans="1:10" x14ac:dyDescent="0.3">
      <c r="A9" t="s">
        <v>16</v>
      </c>
      <c r="B9" s="2">
        <v>45527</v>
      </c>
      <c r="C9" t="s">
        <v>1277</v>
      </c>
      <c r="D9" t="s">
        <v>1289</v>
      </c>
      <c r="E9">
        <v>1</v>
      </c>
      <c r="F9" s="3">
        <v>762</v>
      </c>
      <c r="G9" s="3">
        <v>762</v>
      </c>
      <c r="H9" t="s">
        <v>1314</v>
      </c>
      <c r="I9">
        <f>MONTH(Table1_1[[#This Row],[Order Date]])</f>
        <v>8</v>
      </c>
      <c r="J9" t="str">
        <f>TEXT(Table1_1[[#This Row],[Order Date]],"[$-en-US]mmm")</f>
        <v>Aug</v>
      </c>
    </row>
    <row r="10" spans="1:10" x14ac:dyDescent="0.3">
      <c r="A10" t="s">
        <v>17</v>
      </c>
      <c r="B10" s="2">
        <v>45442</v>
      </c>
      <c r="C10" t="s">
        <v>1275</v>
      </c>
      <c r="D10" t="s">
        <v>1289</v>
      </c>
      <c r="E10">
        <v>2</v>
      </c>
      <c r="F10" s="3">
        <v>580</v>
      </c>
      <c r="G10" s="3">
        <v>1160</v>
      </c>
      <c r="H10" t="s">
        <v>1315</v>
      </c>
      <c r="I10">
        <f>MONTH(Table1_1[[#This Row],[Order Date]])</f>
        <v>5</v>
      </c>
      <c r="J10" t="str">
        <f>TEXT(Table1_1[[#This Row],[Order Date]],"[$-en-US]mmm")</f>
        <v>May</v>
      </c>
    </row>
    <row r="11" spans="1:10" x14ac:dyDescent="0.3">
      <c r="A11" t="s">
        <v>18</v>
      </c>
      <c r="B11" s="2">
        <v>45630</v>
      </c>
      <c r="C11" t="s">
        <v>1274</v>
      </c>
      <c r="D11" t="s">
        <v>1290</v>
      </c>
      <c r="E11">
        <v>2</v>
      </c>
      <c r="F11" s="3">
        <v>61</v>
      </c>
      <c r="G11" s="3">
        <v>122</v>
      </c>
      <c r="H11" t="s">
        <v>1313</v>
      </c>
      <c r="I11">
        <f>MONTH(Table1_1[[#This Row],[Order Date]])</f>
        <v>12</v>
      </c>
      <c r="J11" t="str">
        <f>TEXT(Table1_1[[#This Row],[Order Date]],"[$-en-US]mmm")</f>
        <v>Dec</v>
      </c>
    </row>
    <row r="12" spans="1:10" x14ac:dyDescent="0.3">
      <c r="A12" t="s">
        <v>20</v>
      </c>
      <c r="B12" s="2">
        <v>45617</v>
      </c>
      <c r="C12" t="s">
        <v>1275</v>
      </c>
      <c r="D12" t="s">
        <v>1289</v>
      </c>
      <c r="E12">
        <v>5</v>
      </c>
      <c r="F12" s="3">
        <v>479</v>
      </c>
      <c r="G12" s="3">
        <v>2395</v>
      </c>
      <c r="H12" t="s">
        <v>1315</v>
      </c>
      <c r="I12">
        <f>MONTH(Table1_1[[#This Row],[Order Date]])</f>
        <v>11</v>
      </c>
      <c r="J12" t="str">
        <f>TEXT(Table1_1[[#This Row],[Order Date]],"[$-en-US]mmm")</f>
        <v>Nov</v>
      </c>
    </row>
    <row r="13" spans="1:10" x14ac:dyDescent="0.3">
      <c r="A13" t="s">
        <v>21</v>
      </c>
      <c r="B13" s="2">
        <v>45399</v>
      </c>
      <c r="C13" t="s">
        <v>1279</v>
      </c>
      <c r="D13" t="s">
        <v>1289</v>
      </c>
      <c r="E13">
        <v>6</v>
      </c>
      <c r="F13" s="3">
        <v>378</v>
      </c>
      <c r="G13" s="3">
        <v>2268</v>
      </c>
      <c r="H13" t="s">
        <v>1315</v>
      </c>
      <c r="I13">
        <f>MONTH(Table1_1[[#This Row],[Order Date]])</f>
        <v>4</v>
      </c>
      <c r="J13" t="str">
        <f>TEXT(Table1_1[[#This Row],[Order Date]],"[$-en-US]mmm")</f>
        <v>Apr</v>
      </c>
    </row>
    <row r="14" spans="1:10" x14ac:dyDescent="0.3">
      <c r="A14" t="s">
        <v>22</v>
      </c>
      <c r="B14" s="2">
        <v>45379</v>
      </c>
      <c r="C14" t="s">
        <v>1273</v>
      </c>
      <c r="D14" t="s">
        <v>1289</v>
      </c>
      <c r="E14">
        <v>10</v>
      </c>
      <c r="F14" s="3">
        <v>665</v>
      </c>
      <c r="G14" s="3">
        <v>6650</v>
      </c>
      <c r="H14" t="s">
        <v>1313</v>
      </c>
      <c r="I14">
        <f>MONTH(Table1_1[[#This Row],[Order Date]])</f>
        <v>3</v>
      </c>
      <c r="J14" t="str">
        <f>TEXT(Table1_1[[#This Row],[Order Date]],"[$-en-US]mmm")</f>
        <v>Mar</v>
      </c>
    </row>
    <row r="15" spans="1:10" x14ac:dyDescent="0.3">
      <c r="A15" t="s">
        <v>23</v>
      </c>
      <c r="B15" s="2">
        <v>45430</v>
      </c>
      <c r="C15" t="s">
        <v>1279</v>
      </c>
      <c r="D15" t="s">
        <v>1289</v>
      </c>
      <c r="E15">
        <v>8</v>
      </c>
      <c r="F15" s="3">
        <v>403</v>
      </c>
      <c r="G15" s="3">
        <v>3224</v>
      </c>
      <c r="H15" t="s">
        <v>1313</v>
      </c>
      <c r="I15">
        <f>MONTH(Table1_1[[#This Row],[Order Date]])</f>
        <v>5</v>
      </c>
      <c r="J15" t="str">
        <f>TEXT(Table1_1[[#This Row],[Order Date]],"[$-en-US]mmm")</f>
        <v>May</v>
      </c>
    </row>
    <row r="16" spans="1:10" x14ac:dyDescent="0.3">
      <c r="A16" t="s">
        <v>24</v>
      </c>
      <c r="B16" s="2">
        <v>45308</v>
      </c>
      <c r="C16" t="s">
        <v>1280</v>
      </c>
      <c r="D16" t="s">
        <v>1290</v>
      </c>
      <c r="E16">
        <v>1</v>
      </c>
      <c r="F16" s="3">
        <v>249</v>
      </c>
      <c r="G16" s="3">
        <v>249</v>
      </c>
      <c r="H16" t="s">
        <v>1315</v>
      </c>
      <c r="I16">
        <f>MONTH(Table1_1[[#This Row],[Order Date]])</f>
        <v>1</v>
      </c>
      <c r="J16" t="str">
        <f>TEXT(Table1_1[[#This Row],[Order Date]],"[$-en-US]mmm")</f>
        <v>Jan</v>
      </c>
    </row>
    <row r="17" spans="1:10" x14ac:dyDescent="0.3">
      <c r="A17" t="s">
        <v>25</v>
      </c>
      <c r="B17" s="2">
        <v>45400</v>
      </c>
      <c r="C17" t="s">
        <v>1275</v>
      </c>
      <c r="D17" t="s">
        <v>1289</v>
      </c>
      <c r="E17">
        <v>5</v>
      </c>
      <c r="F17" s="3">
        <v>82</v>
      </c>
      <c r="G17" s="3">
        <v>410</v>
      </c>
      <c r="H17" t="s">
        <v>1315</v>
      </c>
      <c r="I17">
        <f>MONTH(Table1_1[[#This Row],[Order Date]])</f>
        <v>4</v>
      </c>
      <c r="J17" t="str">
        <f>TEXT(Table1_1[[#This Row],[Order Date]],"[$-en-US]mmm")</f>
        <v>Apr</v>
      </c>
    </row>
    <row r="18" spans="1:10" x14ac:dyDescent="0.3">
      <c r="A18" t="s">
        <v>26</v>
      </c>
      <c r="B18" s="2">
        <v>45621</v>
      </c>
      <c r="C18" t="s">
        <v>1274</v>
      </c>
      <c r="D18" t="s">
        <v>1290</v>
      </c>
      <c r="E18">
        <v>8</v>
      </c>
      <c r="F18" s="3">
        <v>420</v>
      </c>
      <c r="G18" s="3">
        <v>3360</v>
      </c>
      <c r="H18" t="s">
        <v>1316</v>
      </c>
      <c r="I18">
        <f>MONTH(Table1_1[[#This Row],[Order Date]])</f>
        <v>11</v>
      </c>
      <c r="J18" t="str">
        <f>TEXT(Table1_1[[#This Row],[Order Date]],"[$-en-US]mmm")</f>
        <v>Nov</v>
      </c>
    </row>
    <row r="19" spans="1:10" x14ac:dyDescent="0.3">
      <c r="A19" t="s">
        <v>27</v>
      </c>
      <c r="B19" s="2">
        <v>45418</v>
      </c>
      <c r="C19" t="s">
        <v>1279</v>
      </c>
      <c r="D19" t="s">
        <v>1289</v>
      </c>
      <c r="E19">
        <v>5</v>
      </c>
      <c r="F19" s="3">
        <v>157</v>
      </c>
      <c r="G19" s="3">
        <v>785</v>
      </c>
      <c r="H19" t="s">
        <v>1315</v>
      </c>
      <c r="I19">
        <f>MONTH(Table1_1[[#This Row],[Order Date]])</f>
        <v>5</v>
      </c>
      <c r="J19" t="str">
        <f>TEXT(Table1_1[[#This Row],[Order Date]],"[$-en-US]mmm")</f>
        <v>May</v>
      </c>
    </row>
    <row r="20" spans="1:10" x14ac:dyDescent="0.3">
      <c r="A20" t="s">
        <v>28</v>
      </c>
      <c r="B20" s="2">
        <v>45477</v>
      </c>
      <c r="C20" t="s">
        <v>1275</v>
      </c>
      <c r="D20" t="s">
        <v>1289</v>
      </c>
      <c r="E20">
        <v>10</v>
      </c>
      <c r="F20" s="3">
        <v>423</v>
      </c>
      <c r="G20" s="3">
        <v>4230</v>
      </c>
      <c r="H20" t="s">
        <v>1313</v>
      </c>
      <c r="I20">
        <f>MONTH(Table1_1[[#This Row],[Order Date]])</f>
        <v>7</v>
      </c>
      <c r="J20" t="str">
        <f>TEXT(Table1_1[[#This Row],[Order Date]],"[$-en-US]mmm")</f>
        <v>Jul</v>
      </c>
    </row>
    <row r="21" spans="1:10" x14ac:dyDescent="0.3">
      <c r="A21" t="s">
        <v>29</v>
      </c>
      <c r="B21" s="2">
        <v>45338</v>
      </c>
      <c r="C21" t="s">
        <v>1279</v>
      </c>
      <c r="D21" t="s">
        <v>1289</v>
      </c>
      <c r="E21">
        <v>9</v>
      </c>
      <c r="F21" s="3">
        <v>520</v>
      </c>
      <c r="G21" s="3">
        <v>4680</v>
      </c>
      <c r="H21" t="s">
        <v>1314</v>
      </c>
      <c r="I21">
        <f>MONTH(Table1_1[[#This Row],[Order Date]])</f>
        <v>2</v>
      </c>
      <c r="J21" t="str">
        <f>TEXT(Table1_1[[#This Row],[Order Date]],"[$-en-US]mmm")</f>
        <v>Feb</v>
      </c>
    </row>
    <row r="22" spans="1:10" x14ac:dyDescent="0.3">
      <c r="A22" t="s">
        <v>30</v>
      </c>
      <c r="B22" s="2">
        <v>45373</v>
      </c>
      <c r="C22" t="s">
        <v>1273</v>
      </c>
      <c r="D22" t="s">
        <v>1289</v>
      </c>
      <c r="E22">
        <v>3</v>
      </c>
      <c r="F22" s="3">
        <v>657</v>
      </c>
      <c r="G22" s="3">
        <v>1971</v>
      </c>
      <c r="H22" t="s">
        <v>1316</v>
      </c>
      <c r="I22">
        <f>MONTH(Table1_1[[#This Row],[Order Date]])</f>
        <v>3</v>
      </c>
      <c r="J22" t="str">
        <f>TEXT(Table1_1[[#This Row],[Order Date]],"[$-en-US]mmm")</f>
        <v>Mar</v>
      </c>
    </row>
    <row r="23" spans="1:10" x14ac:dyDescent="0.3">
      <c r="A23" t="s">
        <v>31</v>
      </c>
      <c r="B23" s="2">
        <v>45597</v>
      </c>
      <c r="C23" t="s">
        <v>1273</v>
      </c>
      <c r="D23" t="s">
        <v>1289</v>
      </c>
      <c r="E23">
        <v>7</v>
      </c>
      <c r="F23" s="3">
        <v>405</v>
      </c>
      <c r="G23" s="3">
        <v>2835</v>
      </c>
      <c r="H23" t="s">
        <v>1316</v>
      </c>
      <c r="I23">
        <f>MONTH(Table1_1[[#This Row],[Order Date]])</f>
        <v>11</v>
      </c>
      <c r="J23" t="str">
        <f>TEXT(Table1_1[[#This Row],[Order Date]],"[$-en-US]mmm")</f>
        <v>Nov</v>
      </c>
    </row>
    <row r="24" spans="1:10" x14ac:dyDescent="0.3">
      <c r="A24" t="s">
        <v>32</v>
      </c>
      <c r="B24" s="2">
        <v>45297</v>
      </c>
      <c r="C24" t="s">
        <v>1277</v>
      </c>
      <c r="D24" t="s">
        <v>1289</v>
      </c>
      <c r="E24">
        <v>9</v>
      </c>
      <c r="F24" s="3">
        <v>896</v>
      </c>
      <c r="G24" s="3">
        <v>8064</v>
      </c>
      <c r="H24" t="s">
        <v>1314</v>
      </c>
      <c r="I24">
        <f>MONTH(Table1_1[[#This Row],[Order Date]])</f>
        <v>1</v>
      </c>
      <c r="J24" t="str">
        <f>TEXT(Table1_1[[#This Row],[Order Date]],"[$-en-US]mmm")</f>
        <v>Jan</v>
      </c>
    </row>
    <row r="25" spans="1:10" x14ac:dyDescent="0.3">
      <c r="A25" t="s">
        <v>33</v>
      </c>
      <c r="B25" s="2">
        <v>45442</v>
      </c>
      <c r="C25" t="s">
        <v>1277</v>
      </c>
      <c r="D25" t="s">
        <v>1289</v>
      </c>
      <c r="E25">
        <v>6</v>
      </c>
      <c r="F25" s="3">
        <v>129</v>
      </c>
      <c r="G25" s="3">
        <v>774</v>
      </c>
      <c r="H25" t="s">
        <v>1316</v>
      </c>
      <c r="I25">
        <f>MONTH(Table1_1[[#This Row],[Order Date]])</f>
        <v>5</v>
      </c>
      <c r="J25" t="str">
        <f>TEXT(Table1_1[[#This Row],[Order Date]],"[$-en-US]mmm")</f>
        <v>May</v>
      </c>
    </row>
    <row r="26" spans="1:10" x14ac:dyDescent="0.3">
      <c r="A26" t="s">
        <v>34</v>
      </c>
      <c r="B26" s="2">
        <v>45426</v>
      </c>
      <c r="C26" t="s">
        <v>1279</v>
      </c>
      <c r="D26" t="s">
        <v>1289</v>
      </c>
      <c r="E26">
        <v>8</v>
      </c>
      <c r="F26" s="3">
        <v>18</v>
      </c>
      <c r="G26" s="3">
        <v>144</v>
      </c>
      <c r="H26" t="s">
        <v>1313</v>
      </c>
      <c r="I26">
        <f>MONTH(Table1_1[[#This Row],[Order Date]])</f>
        <v>5</v>
      </c>
      <c r="J26" t="str">
        <f>TEXT(Table1_1[[#This Row],[Order Date]],"[$-en-US]mmm")</f>
        <v>May</v>
      </c>
    </row>
    <row r="27" spans="1:10" x14ac:dyDescent="0.3">
      <c r="A27" t="s">
        <v>35</v>
      </c>
      <c r="B27" s="2">
        <v>45619</v>
      </c>
      <c r="C27" t="s">
        <v>1273</v>
      </c>
      <c r="D27" t="s">
        <v>1289</v>
      </c>
      <c r="E27">
        <v>5</v>
      </c>
      <c r="F27" s="3">
        <v>876</v>
      </c>
      <c r="G27" s="3">
        <v>4380</v>
      </c>
      <c r="H27" t="s">
        <v>1313</v>
      </c>
      <c r="I27">
        <f>MONTH(Table1_1[[#This Row],[Order Date]])</f>
        <v>11</v>
      </c>
      <c r="J27" t="str">
        <f>TEXT(Table1_1[[#This Row],[Order Date]],"[$-en-US]mmm")</f>
        <v>Nov</v>
      </c>
    </row>
    <row r="28" spans="1:10" x14ac:dyDescent="0.3">
      <c r="A28" t="s">
        <v>36</v>
      </c>
      <c r="B28" s="2">
        <v>45374</v>
      </c>
      <c r="C28" t="s">
        <v>1279</v>
      </c>
      <c r="D28" t="s">
        <v>1289</v>
      </c>
      <c r="E28">
        <v>6</v>
      </c>
      <c r="F28" s="3">
        <v>795</v>
      </c>
      <c r="G28" s="3">
        <v>4770</v>
      </c>
      <c r="H28" t="s">
        <v>1314</v>
      </c>
      <c r="I28">
        <f>MONTH(Table1_1[[#This Row],[Order Date]])</f>
        <v>3</v>
      </c>
      <c r="J28" t="str">
        <f>TEXT(Table1_1[[#This Row],[Order Date]],"[$-en-US]mmm")</f>
        <v>Mar</v>
      </c>
    </row>
    <row r="29" spans="1:10" x14ac:dyDescent="0.3">
      <c r="A29" t="s">
        <v>37</v>
      </c>
      <c r="B29" s="2">
        <v>45349</v>
      </c>
      <c r="C29" t="s">
        <v>1280</v>
      </c>
      <c r="D29" t="s">
        <v>1290</v>
      </c>
      <c r="E29">
        <v>8</v>
      </c>
      <c r="F29" s="3">
        <v>34</v>
      </c>
      <c r="G29" s="3">
        <v>272</v>
      </c>
      <c r="H29" t="s">
        <v>1315</v>
      </c>
      <c r="I29">
        <f>MONTH(Table1_1[[#This Row],[Order Date]])</f>
        <v>2</v>
      </c>
      <c r="J29" t="str">
        <f>TEXT(Table1_1[[#This Row],[Order Date]],"[$-en-US]mmm")</f>
        <v>Feb</v>
      </c>
    </row>
    <row r="30" spans="1:10" x14ac:dyDescent="0.3">
      <c r="A30" t="s">
        <v>38</v>
      </c>
      <c r="B30" s="2">
        <v>45415</v>
      </c>
      <c r="C30" t="s">
        <v>1277</v>
      </c>
      <c r="D30" t="s">
        <v>1289</v>
      </c>
      <c r="E30">
        <v>4</v>
      </c>
      <c r="F30" s="3">
        <v>74</v>
      </c>
      <c r="G30" s="3">
        <v>296</v>
      </c>
      <c r="H30" t="s">
        <v>1314</v>
      </c>
      <c r="I30">
        <f>MONTH(Table1_1[[#This Row],[Order Date]])</f>
        <v>5</v>
      </c>
      <c r="J30" t="str">
        <f>TEXT(Table1_1[[#This Row],[Order Date]],"[$-en-US]mmm")</f>
        <v>May</v>
      </c>
    </row>
    <row r="31" spans="1:10" x14ac:dyDescent="0.3">
      <c r="A31" t="s">
        <v>39</v>
      </c>
      <c r="B31" s="2">
        <v>45327</v>
      </c>
      <c r="C31" t="s">
        <v>1273</v>
      </c>
      <c r="D31" t="s">
        <v>1289</v>
      </c>
      <c r="E31">
        <v>8</v>
      </c>
      <c r="F31" s="3">
        <v>850</v>
      </c>
      <c r="G31" s="3">
        <v>6800</v>
      </c>
      <c r="H31" t="s">
        <v>1313</v>
      </c>
      <c r="I31">
        <f>MONTH(Table1_1[[#This Row],[Order Date]])</f>
        <v>2</v>
      </c>
      <c r="J31" t="str">
        <f>TEXT(Table1_1[[#This Row],[Order Date]],"[$-en-US]mmm")</f>
        <v>Feb</v>
      </c>
    </row>
    <row r="32" spans="1:10" x14ac:dyDescent="0.3">
      <c r="A32" t="s">
        <v>40</v>
      </c>
      <c r="B32" s="2">
        <v>45376</v>
      </c>
      <c r="C32" t="s">
        <v>1279</v>
      </c>
      <c r="D32" t="s">
        <v>1289</v>
      </c>
      <c r="E32">
        <v>8</v>
      </c>
      <c r="F32" s="3">
        <v>577</v>
      </c>
      <c r="G32" s="3">
        <v>4616</v>
      </c>
      <c r="H32" t="s">
        <v>1315</v>
      </c>
      <c r="I32">
        <f>MONTH(Table1_1[[#This Row],[Order Date]])</f>
        <v>3</v>
      </c>
      <c r="J32" t="str">
        <f>TEXT(Table1_1[[#This Row],[Order Date]],"[$-en-US]mmm")</f>
        <v>Mar</v>
      </c>
    </row>
    <row r="33" spans="1:10" x14ac:dyDescent="0.3">
      <c r="A33" t="s">
        <v>41</v>
      </c>
      <c r="B33" s="2">
        <v>45645</v>
      </c>
      <c r="C33" t="s">
        <v>1275</v>
      </c>
      <c r="D33" t="s">
        <v>1289</v>
      </c>
      <c r="E33">
        <v>4</v>
      </c>
      <c r="F33" s="3">
        <v>567</v>
      </c>
      <c r="G33" s="3">
        <v>2268</v>
      </c>
      <c r="H33" t="s">
        <v>1313</v>
      </c>
      <c r="I33">
        <f>MONTH(Table1_1[[#This Row],[Order Date]])</f>
        <v>12</v>
      </c>
      <c r="J33" t="str">
        <f>TEXT(Table1_1[[#This Row],[Order Date]],"[$-en-US]mmm")</f>
        <v>Dec</v>
      </c>
    </row>
    <row r="34" spans="1:10" x14ac:dyDescent="0.3">
      <c r="A34" t="s">
        <v>42</v>
      </c>
      <c r="B34" s="2">
        <v>45624</v>
      </c>
      <c r="C34" t="s">
        <v>1277</v>
      </c>
      <c r="D34" t="s">
        <v>1289</v>
      </c>
      <c r="E34">
        <v>7</v>
      </c>
      <c r="F34" s="3">
        <v>702</v>
      </c>
      <c r="G34" s="3">
        <v>4914</v>
      </c>
      <c r="H34" t="s">
        <v>1315</v>
      </c>
      <c r="I34">
        <f>MONTH(Table1_1[[#This Row],[Order Date]])</f>
        <v>11</v>
      </c>
      <c r="J34" t="str">
        <f>TEXT(Table1_1[[#This Row],[Order Date]],"[$-en-US]mmm")</f>
        <v>Nov</v>
      </c>
    </row>
    <row r="35" spans="1:10" x14ac:dyDescent="0.3">
      <c r="A35" t="s">
        <v>43</v>
      </c>
      <c r="B35" s="2">
        <v>45353</v>
      </c>
      <c r="C35" t="s">
        <v>1282</v>
      </c>
      <c r="D35" t="s">
        <v>1290</v>
      </c>
      <c r="E35">
        <v>9</v>
      </c>
      <c r="F35" s="3">
        <v>477</v>
      </c>
      <c r="G35" s="3">
        <v>4293</v>
      </c>
      <c r="H35" t="s">
        <v>1313</v>
      </c>
      <c r="I35">
        <f>MONTH(Table1_1[[#This Row],[Order Date]])</f>
        <v>3</v>
      </c>
      <c r="J35" t="str">
        <f>TEXT(Table1_1[[#This Row],[Order Date]],"[$-en-US]mmm")</f>
        <v>Mar</v>
      </c>
    </row>
    <row r="36" spans="1:10" x14ac:dyDescent="0.3">
      <c r="A36" t="s">
        <v>44</v>
      </c>
      <c r="B36" s="2">
        <v>45302</v>
      </c>
      <c r="C36" t="s">
        <v>1274</v>
      </c>
      <c r="D36" t="s">
        <v>1290</v>
      </c>
      <c r="E36">
        <v>2</v>
      </c>
      <c r="F36" s="3">
        <v>361</v>
      </c>
      <c r="G36" s="3">
        <v>722</v>
      </c>
      <c r="H36" t="s">
        <v>1313</v>
      </c>
      <c r="I36">
        <f>MONTH(Table1_1[[#This Row],[Order Date]])</f>
        <v>1</v>
      </c>
      <c r="J36" t="str">
        <f>TEXT(Table1_1[[#This Row],[Order Date]],"[$-en-US]mmm")</f>
        <v>Jan</v>
      </c>
    </row>
    <row r="37" spans="1:10" x14ac:dyDescent="0.3">
      <c r="A37" t="s">
        <v>45</v>
      </c>
      <c r="B37" s="2">
        <v>45654</v>
      </c>
      <c r="C37" t="s">
        <v>1274</v>
      </c>
      <c r="D37" t="s">
        <v>1290</v>
      </c>
      <c r="E37">
        <v>1</v>
      </c>
      <c r="F37" s="3">
        <v>87</v>
      </c>
      <c r="G37" s="3">
        <v>87</v>
      </c>
      <c r="H37" t="s">
        <v>1314</v>
      </c>
      <c r="I37">
        <f>MONTH(Table1_1[[#This Row],[Order Date]])</f>
        <v>12</v>
      </c>
      <c r="J37" t="str">
        <f>TEXT(Table1_1[[#This Row],[Order Date]],"[$-en-US]mmm")</f>
        <v>Dec</v>
      </c>
    </row>
    <row r="38" spans="1:10" x14ac:dyDescent="0.3">
      <c r="A38" t="s">
        <v>46</v>
      </c>
      <c r="B38" s="2">
        <v>45461</v>
      </c>
      <c r="C38" t="s">
        <v>1274</v>
      </c>
      <c r="D38" t="s">
        <v>1290</v>
      </c>
      <c r="E38">
        <v>2</v>
      </c>
      <c r="F38" s="3">
        <v>47</v>
      </c>
      <c r="G38" s="3">
        <v>94</v>
      </c>
      <c r="H38" t="s">
        <v>1314</v>
      </c>
      <c r="I38">
        <f>MONTH(Table1_1[[#This Row],[Order Date]])</f>
        <v>6</v>
      </c>
      <c r="J38" t="str">
        <f>TEXT(Table1_1[[#This Row],[Order Date]],"[$-en-US]mmm")</f>
        <v>Jun</v>
      </c>
    </row>
    <row r="39" spans="1:10" x14ac:dyDescent="0.3">
      <c r="A39" t="s">
        <v>47</v>
      </c>
      <c r="B39" s="2">
        <v>45540</v>
      </c>
      <c r="C39" t="s">
        <v>1274</v>
      </c>
      <c r="D39" t="s">
        <v>1290</v>
      </c>
      <c r="E39">
        <v>5</v>
      </c>
      <c r="F39" s="3">
        <v>700</v>
      </c>
      <c r="G39" s="3">
        <v>3500</v>
      </c>
      <c r="H39" t="s">
        <v>1313</v>
      </c>
      <c r="I39">
        <f>MONTH(Table1_1[[#This Row],[Order Date]])</f>
        <v>9</v>
      </c>
      <c r="J39" t="str">
        <f>TEXT(Table1_1[[#This Row],[Order Date]],"[$-en-US]mmm")</f>
        <v>Sep</v>
      </c>
    </row>
    <row r="40" spans="1:10" x14ac:dyDescent="0.3">
      <c r="A40" t="s">
        <v>48</v>
      </c>
      <c r="B40" s="2">
        <v>45534</v>
      </c>
      <c r="C40" t="s">
        <v>1279</v>
      </c>
      <c r="D40" t="s">
        <v>1289</v>
      </c>
      <c r="E40">
        <v>10</v>
      </c>
      <c r="F40" s="3">
        <v>605</v>
      </c>
      <c r="G40" s="3">
        <v>6050</v>
      </c>
      <c r="H40" t="s">
        <v>1313</v>
      </c>
      <c r="I40">
        <f>MONTH(Table1_1[[#This Row],[Order Date]])</f>
        <v>8</v>
      </c>
      <c r="J40" t="str">
        <f>TEXT(Table1_1[[#This Row],[Order Date]],"[$-en-US]mmm")</f>
        <v>Aug</v>
      </c>
    </row>
    <row r="41" spans="1:10" x14ac:dyDescent="0.3">
      <c r="A41" t="s">
        <v>49</v>
      </c>
      <c r="B41" s="2">
        <v>45340</v>
      </c>
      <c r="C41" t="s">
        <v>1282</v>
      </c>
      <c r="D41" t="s">
        <v>1290</v>
      </c>
      <c r="E41">
        <v>7</v>
      </c>
      <c r="F41" s="3">
        <v>209</v>
      </c>
      <c r="G41" s="3">
        <v>1463</v>
      </c>
      <c r="H41" t="s">
        <v>1314</v>
      </c>
      <c r="I41">
        <f>MONTH(Table1_1[[#This Row],[Order Date]])</f>
        <v>2</v>
      </c>
      <c r="J41" t="str">
        <f>TEXT(Table1_1[[#This Row],[Order Date]],"[$-en-US]mmm")</f>
        <v>Feb</v>
      </c>
    </row>
    <row r="42" spans="1:10" x14ac:dyDescent="0.3">
      <c r="A42" t="s">
        <v>51</v>
      </c>
      <c r="B42" s="2">
        <v>45498</v>
      </c>
      <c r="C42" t="s">
        <v>1276</v>
      </c>
      <c r="D42" t="s">
        <v>1290</v>
      </c>
      <c r="E42">
        <v>2</v>
      </c>
      <c r="F42" s="3">
        <v>77</v>
      </c>
      <c r="G42" s="3">
        <v>154</v>
      </c>
      <c r="H42" t="s">
        <v>1315</v>
      </c>
      <c r="I42">
        <f>MONTH(Table1_1[[#This Row],[Order Date]])</f>
        <v>7</v>
      </c>
      <c r="J42" t="str">
        <f>TEXT(Table1_1[[#This Row],[Order Date]],"[$-en-US]mmm")</f>
        <v>Jul</v>
      </c>
    </row>
    <row r="43" spans="1:10" x14ac:dyDescent="0.3">
      <c r="A43" t="s">
        <v>52</v>
      </c>
      <c r="B43" s="2">
        <v>45389</v>
      </c>
      <c r="C43" t="s">
        <v>1273</v>
      </c>
      <c r="D43" t="s">
        <v>1289</v>
      </c>
      <c r="E43">
        <v>4</v>
      </c>
      <c r="F43" s="3">
        <v>211</v>
      </c>
      <c r="G43" s="3">
        <v>844</v>
      </c>
      <c r="H43" t="s">
        <v>1316</v>
      </c>
      <c r="I43">
        <f>MONTH(Table1_1[[#This Row],[Order Date]])</f>
        <v>4</v>
      </c>
      <c r="J43" t="str">
        <f>TEXT(Table1_1[[#This Row],[Order Date]],"[$-en-US]mmm")</f>
        <v>Apr</v>
      </c>
    </row>
    <row r="44" spans="1:10" x14ac:dyDescent="0.3">
      <c r="A44" t="s">
        <v>53</v>
      </c>
      <c r="B44" s="2">
        <v>45434</v>
      </c>
      <c r="C44" t="s">
        <v>1279</v>
      </c>
      <c r="D44" t="s">
        <v>1289</v>
      </c>
      <c r="E44">
        <v>7</v>
      </c>
      <c r="F44" s="3">
        <v>202</v>
      </c>
      <c r="G44" s="3">
        <v>1414</v>
      </c>
      <c r="H44" t="s">
        <v>1316</v>
      </c>
      <c r="I44">
        <f>MONTH(Table1_1[[#This Row],[Order Date]])</f>
        <v>5</v>
      </c>
      <c r="J44" t="str">
        <f>TEXT(Table1_1[[#This Row],[Order Date]],"[$-en-US]mmm")</f>
        <v>May</v>
      </c>
    </row>
    <row r="45" spans="1:10" x14ac:dyDescent="0.3">
      <c r="A45" t="s">
        <v>54</v>
      </c>
      <c r="B45" s="2">
        <v>45573</v>
      </c>
      <c r="C45" t="s">
        <v>1274</v>
      </c>
      <c r="D45" t="s">
        <v>1290</v>
      </c>
      <c r="E45">
        <v>2</v>
      </c>
      <c r="F45" s="3">
        <v>468</v>
      </c>
      <c r="G45" s="3">
        <v>936</v>
      </c>
      <c r="H45" t="s">
        <v>1314</v>
      </c>
      <c r="I45">
        <f>MONTH(Table1_1[[#This Row],[Order Date]])</f>
        <v>10</v>
      </c>
      <c r="J45" t="str">
        <f>TEXT(Table1_1[[#This Row],[Order Date]],"[$-en-US]mmm")</f>
        <v>Oct</v>
      </c>
    </row>
    <row r="46" spans="1:10" x14ac:dyDescent="0.3">
      <c r="A46" t="s">
        <v>55</v>
      </c>
      <c r="B46" s="2">
        <v>45299</v>
      </c>
      <c r="C46" t="s">
        <v>1276</v>
      </c>
      <c r="D46" t="s">
        <v>1290</v>
      </c>
      <c r="E46">
        <v>9</v>
      </c>
      <c r="F46" s="3">
        <v>871</v>
      </c>
      <c r="G46" s="3">
        <v>7839</v>
      </c>
      <c r="H46" t="s">
        <v>1314</v>
      </c>
      <c r="I46">
        <f>MONTH(Table1_1[[#This Row],[Order Date]])</f>
        <v>1</v>
      </c>
      <c r="J46" t="str">
        <f>TEXT(Table1_1[[#This Row],[Order Date]],"[$-en-US]mmm")</f>
        <v>Jan</v>
      </c>
    </row>
    <row r="47" spans="1:10" x14ac:dyDescent="0.3">
      <c r="A47" t="s">
        <v>56</v>
      </c>
      <c r="B47" s="2">
        <v>45540</v>
      </c>
      <c r="C47" t="s">
        <v>1274</v>
      </c>
      <c r="D47" t="s">
        <v>1290</v>
      </c>
      <c r="E47">
        <v>3</v>
      </c>
      <c r="F47" s="3">
        <v>431</v>
      </c>
      <c r="G47" s="3">
        <v>1293</v>
      </c>
      <c r="H47" t="s">
        <v>1316</v>
      </c>
      <c r="I47">
        <f>MONTH(Table1_1[[#This Row],[Order Date]])</f>
        <v>9</v>
      </c>
      <c r="J47" t="str">
        <f>TEXT(Table1_1[[#This Row],[Order Date]],"[$-en-US]mmm")</f>
        <v>Sep</v>
      </c>
    </row>
    <row r="48" spans="1:10" x14ac:dyDescent="0.3">
      <c r="A48" t="s">
        <v>57</v>
      </c>
      <c r="B48" s="2">
        <v>45376</v>
      </c>
      <c r="C48" t="s">
        <v>1274</v>
      </c>
      <c r="D48" t="s">
        <v>1290</v>
      </c>
      <c r="E48">
        <v>7</v>
      </c>
      <c r="F48" s="3">
        <v>75</v>
      </c>
      <c r="G48" s="3">
        <v>525</v>
      </c>
      <c r="H48" t="s">
        <v>1316</v>
      </c>
      <c r="I48">
        <f>MONTH(Table1_1[[#This Row],[Order Date]])</f>
        <v>3</v>
      </c>
      <c r="J48" t="str">
        <f>TEXT(Table1_1[[#This Row],[Order Date]],"[$-en-US]mmm")</f>
        <v>Mar</v>
      </c>
    </row>
    <row r="49" spans="1:10" x14ac:dyDescent="0.3">
      <c r="A49" t="s">
        <v>58</v>
      </c>
      <c r="B49" s="2">
        <v>45524</v>
      </c>
      <c r="C49" t="s">
        <v>1276</v>
      </c>
      <c r="D49" t="s">
        <v>1290</v>
      </c>
      <c r="E49">
        <v>7</v>
      </c>
      <c r="F49" s="3">
        <v>286</v>
      </c>
      <c r="G49" s="3">
        <v>2002</v>
      </c>
      <c r="H49" t="s">
        <v>1315</v>
      </c>
      <c r="I49">
        <f>MONTH(Table1_1[[#This Row],[Order Date]])</f>
        <v>8</v>
      </c>
      <c r="J49" t="str">
        <f>TEXT(Table1_1[[#This Row],[Order Date]],"[$-en-US]mmm")</f>
        <v>Aug</v>
      </c>
    </row>
    <row r="50" spans="1:10" x14ac:dyDescent="0.3">
      <c r="A50" t="s">
        <v>59</v>
      </c>
      <c r="B50" s="2">
        <v>45541</v>
      </c>
      <c r="C50" t="s">
        <v>1275</v>
      </c>
      <c r="D50" t="s">
        <v>1289</v>
      </c>
      <c r="E50">
        <v>9</v>
      </c>
      <c r="F50" s="3">
        <v>692</v>
      </c>
      <c r="G50" s="3">
        <v>6228</v>
      </c>
      <c r="H50" t="s">
        <v>1313</v>
      </c>
      <c r="I50">
        <f>MONTH(Table1_1[[#This Row],[Order Date]])</f>
        <v>9</v>
      </c>
      <c r="J50" t="str">
        <f>TEXT(Table1_1[[#This Row],[Order Date]],"[$-en-US]mmm")</f>
        <v>Sep</v>
      </c>
    </row>
    <row r="51" spans="1:10" x14ac:dyDescent="0.3">
      <c r="A51" t="s">
        <v>60</v>
      </c>
      <c r="B51" s="2">
        <v>45321</v>
      </c>
      <c r="C51" t="s">
        <v>1274</v>
      </c>
      <c r="D51" t="s">
        <v>1290</v>
      </c>
      <c r="E51">
        <v>5</v>
      </c>
      <c r="F51" s="3">
        <v>237</v>
      </c>
      <c r="G51" s="3">
        <v>1185</v>
      </c>
      <c r="H51" t="s">
        <v>1314</v>
      </c>
      <c r="I51">
        <f>MONTH(Table1_1[[#This Row],[Order Date]])</f>
        <v>1</v>
      </c>
      <c r="J51" t="str">
        <f>TEXT(Table1_1[[#This Row],[Order Date]],"[$-en-US]mmm")</f>
        <v>Jan</v>
      </c>
    </row>
    <row r="52" spans="1:10" x14ac:dyDescent="0.3">
      <c r="A52" t="s">
        <v>61</v>
      </c>
      <c r="B52" s="2">
        <v>45591</v>
      </c>
      <c r="C52" t="s">
        <v>1280</v>
      </c>
      <c r="D52" t="s">
        <v>1290</v>
      </c>
      <c r="E52">
        <v>1</v>
      </c>
      <c r="F52" s="3">
        <v>66</v>
      </c>
      <c r="G52" s="3">
        <v>66</v>
      </c>
      <c r="H52" t="s">
        <v>1316</v>
      </c>
      <c r="I52">
        <f>MONTH(Table1_1[[#This Row],[Order Date]])</f>
        <v>10</v>
      </c>
      <c r="J52" t="str">
        <f>TEXT(Table1_1[[#This Row],[Order Date]],"[$-en-US]mmm")</f>
        <v>Oct</v>
      </c>
    </row>
    <row r="53" spans="1:10" x14ac:dyDescent="0.3">
      <c r="A53" t="s">
        <v>62</v>
      </c>
      <c r="B53" s="2">
        <v>45333</v>
      </c>
      <c r="C53" t="s">
        <v>1279</v>
      </c>
      <c r="D53" t="s">
        <v>1289</v>
      </c>
      <c r="E53">
        <v>1</v>
      </c>
      <c r="F53" s="3">
        <v>535</v>
      </c>
      <c r="G53" s="3">
        <v>535</v>
      </c>
      <c r="H53" t="s">
        <v>1313</v>
      </c>
      <c r="I53">
        <f>MONTH(Table1_1[[#This Row],[Order Date]])</f>
        <v>2</v>
      </c>
      <c r="J53" t="str">
        <f>TEXT(Table1_1[[#This Row],[Order Date]],"[$-en-US]mmm")</f>
        <v>Feb</v>
      </c>
    </row>
    <row r="54" spans="1:10" x14ac:dyDescent="0.3">
      <c r="A54" t="s">
        <v>64</v>
      </c>
      <c r="B54" s="2">
        <v>45418</v>
      </c>
      <c r="C54" t="s">
        <v>1275</v>
      </c>
      <c r="D54" t="s">
        <v>1289</v>
      </c>
      <c r="E54">
        <v>2</v>
      </c>
      <c r="F54" s="3">
        <v>598</v>
      </c>
      <c r="G54" s="3">
        <v>1196</v>
      </c>
      <c r="H54" t="s">
        <v>1314</v>
      </c>
      <c r="I54">
        <f>MONTH(Table1_1[[#This Row],[Order Date]])</f>
        <v>5</v>
      </c>
      <c r="J54" t="str">
        <f>TEXT(Table1_1[[#This Row],[Order Date]],"[$-en-US]mmm")</f>
        <v>May</v>
      </c>
    </row>
    <row r="55" spans="1:10" x14ac:dyDescent="0.3">
      <c r="A55" t="s">
        <v>65</v>
      </c>
      <c r="B55" s="2">
        <v>45590</v>
      </c>
      <c r="C55" t="s">
        <v>1273</v>
      </c>
      <c r="D55" t="s">
        <v>1289</v>
      </c>
      <c r="E55">
        <v>7</v>
      </c>
      <c r="F55" s="3">
        <v>688</v>
      </c>
      <c r="G55" s="3">
        <v>4816</v>
      </c>
      <c r="H55" t="s">
        <v>1315</v>
      </c>
      <c r="I55">
        <f>MONTH(Table1_1[[#This Row],[Order Date]])</f>
        <v>10</v>
      </c>
      <c r="J55" t="str">
        <f>TEXT(Table1_1[[#This Row],[Order Date]],"[$-en-US]mmm")</f>
        <v>Oct</v>
      </c>
    </row>
    <row r="56" spans="1:10" x14ac:dyDescent="0.3">
      <c r="A56" t="s">
        <v>66</v>
      </c>
      <c r="B56" s="2">
        <v>45452</v>
      </c>
      <c r="C56" t="s">
        <v>1277</v>
      </c>
      <c r="D56" t="s">
        <v>1289</v>
      </c>
      <c r="E56">
        <v>4</v>
      </c>
      <c r="F56" s="3">
        <v>700</v>
      </c>
      <c r="G56" s="3">
        <v>2800</v>
      </c>
      <c r="H56" t="s">
        <v>1313</v>
      </c>
      <c r="I56">
        <f>MONTH(Table1_1[[#This Row],[Order Date]])</f>
        <v>6</v>
      </c>
      <c r="J56" t="str">
        <f>TEXT(Table1_1[[#This Row],[Order Date]],"[$-en-US]mmm")</f>
        <v>Jun</v>
      </c>
    </row>
    <row r="57" spans="1:10" x14ac:dyDescent="0.3">
      <c r="A57" t="s">
        <v>67</v>
      </c>
      <c r="B57" s="2">
        <v>45635</v>
      </c>
      <c r="C57" t="s">
        <v>1277</v>
      </c>
      <c r="D57" t="s">
        <v>1289</v>
      </c>
      <c r="E57">
        <v>7</v>
      </c>
      <c r="F57" s="3">
        <v>149</v>
      </c>
      <c r="G57" s="3">
        <v>1043</v>
      </c>
      <c r="H57" t="s">
        <v>1315</v>
      </c>
      <c r="I57">
        <f>MONTH(Table1_1[[#This Row],[Order Date]])</f>
        <v>12</v>
      </c>
      <c r="J57" t="str">
        <f>TEXT(Table1_1[[#This Row],[Order Date]],"[$-en-US]mmm")</f>
        <v>Dec</v>
      </c>
    </row>
    <row r="58" spans="1:10" x14ac:dyDescent="0.3">
      <c r="A58" t="s">
        <v>68</v>
      </c>
      <c r="B58" s="2">
        <v>45329</v>
      </c>
      <c r="C58" t="s">
        <v>1282</v>
      </c>
      <c r="D58" t="s">
        <v>1290</v>
      </c>
      <c r="E58">
        <v>6</v>
      </c>
      <c r="F58" s="3">
        <v>784</v>
      </c>
      <c r="G58" s="3">
        <v>4704</v>
      </c>
      <c r="H58" t="s">
        <v>1314</v>
      </c>
      <c r="I58">
        <f>MONTH(Table1_1[[#This Row],[Order Date]])</f>
        <v>2</v>
      </c>
      <c r="J58" t="str">
        <f>TEXT(Table1_1[[#This Row],[Order Date]],"[$-en-US]mmm")</f>
        <v>Feb</v>
      </c>
    </row>
    <row r="59" spans="1:10" x14ac:dyDescent="0.3">
      <c r="A59" t="s">
        <v>69</v>
      </c>
      <c r="B59" s="2">
        <v>45343</v>
      </c>
      <c r="C59" t="s">
        <v>1282</v>
      </c>
      <c r="D59" t="s">
        <v>1290</v>
      </c>
      <c r="E59">
        <v>10</v>
      </c>
      <c r="F59" s="3">
        <v>591</v>
      </c>
      <c r="G59" s="3">
        <v>5910</v>
      </c>
      <c r="H59" t="s">
        <v>1314</v>
      </c>
      <c r="I59">
        <f>MONTH(Table1_1[[#This Row],[Order Date]])</f>
        <v>2</v>
      </c>
      <c r="J59" t="str">
        <f>TEXT(Table1_1[[#This Row],[Order Date]],"[$-en-US]mmm")</f>
        <v>Feb</v>
      </c>
    </row>
    <row r="60" spans="1:10" x14ac:dyDescent="0.3">
      <c r="A60" t="s">
        <v>70</v>
      </c>
      <c r="B60" s="2">
        <v>45359</v>
      </c>
      <c r="C60" t="s">
        <v>1274</v>
      </c>
      <c r="D60" t="s">
        <v>1290</v>
      </c>
      <c r="E60">
        <v>9</v>
      </c>
      <c r="F60" s="3">
        <v>286</v>
      </c>
      <c r="G60" s="3">
        <v>2574</v>
      </c>
      <c r="H60" t="s">
        <v>1315</v>
      </c>
      <c r="I60">
        <f>MONTH(Table1_1[[#This Row],[Order Date]])</f>
        <v>3</v>
      </c>
      <c r="J60" t="str">
        <f>TEXT(Table1_1[[#This Row],[Order Date]],"[$-en-US]mmm")</f>
        <v>Mar</v>
      </c>
    </row>
    <row r="61" spans="1:10" x14ac:dyDescent="0.3">
      <c r="A61" t="s">
        <v>71</v>
      </c>
      <c r="B61" s="2">
        <v>45437</v>
      </c>
      <c r="C61" t="s">
        <v>1273</v>
      </c>
      <c r="D61" t="s">
        <v>1289</v>
      </c>
      <c r="E61">
        <v>4</v>
      </c>
      <c r="F61" s="3">
        <v>393</v>
      </c>
      <c r="G61" s="3">
        <v>1572</v>
      </c>
      <c r="H61" t="s">
        <v>1313</v>
      </c>
      <c r="I61">
        <f>MONTH(Table1_1[[#This Row],[Order Date]])</f>
        <v>5</v>
      </c>
      <c r="J61" t="str">
        <f>TEXT(Table1_1[[#This Row],[Order Date]],"[$-en-US]mmm")</f>
        <v>May</v>
      </c>
    </row>
    <row r="62" spans="1:10" x14ac:dyDescent="0.3">
      <c r="A62" t="s">
        <v>72</v>
      </c>
      <c r="B62" s="2">
        <v>45446</v>
      </c>
      <c r="C62" t="s">
        <v>1282</v>
      </c>
      <c r="D62" t="s">
        <v>1290</v>
      </c>
      <c r="E62">
        <v>9</v>
      </c>
      <c r="F62" s="3">
        <v>735</v>
      </c>
      <c r="G62" s="3">
        <v>6615</v>
      </c>
      <c r="H62" t="s">
        <v>1314</v>
      </c>
      <c r="I62">
        <f>MONTH(Table1_1[[#This Row],[Order Date]])</f>
        <v>6</v>
      </c>
      <c r="J62" t="str">
        <f>TEXT(Table1_1[[#This Row],[Order Date]],"[$-en-US]mmm")</f>
        <v>Jun</v>
      </c>
    </row>
    <row r="63" spans="1:10" x14ac:dyDescent="0.3">
      <c r="A63" t="s">
        <v>73</v>
      </c>
      <c r="B63" s="2">
        <v>45427</v>
      </c>
      <c r="C63" t="s">
        <v>1277</v>
      </c>
      <c r="D63" t="s">
        <v>1289</v>
      </c>
      <c r="E63">
        <v>2</v>
      </c>
      <c r="F63" s="3">
        <v>152</v>
      </c>
      <c r="G63" s="3">
        <v>304</v>
      </c>
      <c r="H63" t="s">
        <v>1314</v>
      </c>
      <c r="I63">
        <f>MONTH(Table1_1[[#This Row],[Order Date]])</f>
        <v>5</v>
      </c>
      <c r="J63" t="str">
        <f>TEXT(Table1_1[[#This Row],[Order Date]],"[$-en-US]mmm")</f>
        <v>May</v>
      </c>
    </row>
    <row r="64" spans="1:10" x14ac:dyDescent="0.3">
      <c r="A64" t="s">
        <v>74</v>
      </c>
      <c r="B64" s="2">
        <v>45431</v>
      </c>
      <c r="C64" t="s">
        <v>1273</v>
      </c>
      <c r="D64" t="s">
        <v>1289</v>
      </c>
      <c r="E64">
        <v>9</v>
      </c>
      <c r="F64" s="3">
        <v>174</v>
      </c>
      <c r="G64" s="3">
        <v>1566</v>
      </c>
      <c r="H64" t="s">
        <v>1315</v>
      </c>
      <c r="I64">
        <f>MONTH(Table1_1[[#This Row],[Order Date]])</f>
        <v>5</v>
      </c>
      <c r="J64" t="str">
        <f>TEXT(Table1_1[[#This Row],[Order Date]],"[$-en-US]mmm")</f>
        <v>May</v>
      </c>
    </row>
    <row r="65" spans="1:10" x14ac:dyDescent="0.3">
      <c r="A65" t="s">
        <v>75</v>
      </c>
      <c r="B65" s="2">
        <v>45643</v>
      </c>
      <c r="C65" t="s">
        <v>1274</v>
      </c>
      <c r="D65" t="s">
        <v>1290</v>
      </c>
      <c r="E65">
        <v>6</v>
      </c>
      <c r="F65" s="3">
        <v>223</v>
      </c>
      <c r="G65" s="3">
        <v>1338</v>
      </c>
      <c r="H65" t="s">
        <v>1315</v>
      </c>
      <c r="I65">
        <f>MONTH(Table1_1[[#This Row],[Order Date]])</f>
        <v>12</v>
      </c>
      <c r="J65" t="str">
        <f>TEXT(Table1_1[[#This Row],[Order Date]],"[$-en-US]mmm")</f>
        <v>Dec</v>
      </c>
    </row>
    <row r="66" spans="1:10" x14ac:dyDescent="0.3">
      <c r="A66" t="s">
        <v>76</v>
      </c>
      <c r="B66" s="2">
        <v>45318</v>
      </c>
      <c r="C66" t="s">
        <v>1282</v>
      </c>
      <c r="D66" t="s">
        <v>1290</v>
      </c>
      <c r="E66">
        <v>5</v>
      </c>
      <c r="F66" s="3">
        <v>881</v>
      </c>
      <c r="G66" s="3">
        <v>4405</v>
      </c>
      <c r="H66" t="s">
        <v>1314</v>
      </c>
      <c r="I66">
        <f>MONTH(Table1_1[[#This Row],[Order Date]])</f>
        <v>1</v>
      </c>
      <c r="J66" t="str">
        <f>TEXT(Table1_1[[#This Row],[Order Date]],"[$-en-US]mmm")</f>
        <v>Jan</v>
      </c>
    </row>
    <row r="67" spans="1:10" x14ac:dyDescent="0.3">
      <c r="A67" t="s">
        <v>77</v>
      </c>
      <c r="B67" s="2">
        <v>45293</v>
      </c>
      <c r="C67" t="s">
        <v>1275</v>
      </c>
      <c r="D67" t="s">
        <v>1289</v>
      </c>
      <c r="E67">
        <v>5</v>
      </c>
      <c r="F67" s="3">
        <v>60</v>
      </c>
      <c r="G67" s="3">
        <v>300</v>
      </c>
      <c r="H67" t="s">
        <v>1315</v>
      </c>
      <c r="I67">
        <f>MONTH(Table1_1[[#This Row],[Order Date]])</f>
        <v>1</v>
      </c>
      <c r="J67" t="str">
        <f>TEXT(Table1_1[[#This Row],[Order Date]],"[$-en-US]mmm")</f>
        <v>Jan</v>
      </c>
    </row>
    <row r="68" spans="1:10" x14ac:dyDescent="0.3">
      <c r="A68" t="s">
        <v>78</v>
      </c>
      <c r="B68" s="2">
        <v>45518</v>
      </c>
      <c r="C68" t="s">
        <v>1279</v>
      </c>
      <c r="D68" t="s">
        <v>1289</v>
      </c>
      <c r="E68">
        <v>5</v>
      </c>
      <c r="F68" s="3">
        <v>180</v>
      </c>
      <c r="G68" s="3">
        <v>900</v>
      </c>
      <c r="H68" t="s">
        <v>1316</v>
      </c>
      <c r="I68">
        <f>MONTH(Table1_1[[#This Row],[Order Date]])</f>
        <v>8</v>
      </c>
      <c r="J68" t="str">
        <f>TEXT(Table1_1[[#This Row],[Order Date]],"[$-en-US]mmm")</f>
        <v>Aug</v>
      </c>
    </row>
    <row r="69" spans="1:10" x14ac:dyDescent="0.3">
      <c r="A69" t="s">
        <v>79</v>
      </c>
      <c r="B69" s="2">
        <v>45645</v>
      </c>
      <c r="C69" t="s">
        <v>1276</v>
      </c>
      <c r="D69" t="s">
        <v>1290</v>
      </c>
      <c r="E69">
        <v>2</v>
      </c>
      <c r="F69" s="3">
        <v>92</v>
      </c>
      <c r="G69" s="3">
        <v>184</v>
      </c>
      <c r="H69" t="s">
        <v>1313</v>
      </c>
      <c r="I69">
        <f>MONTH(Table1_1[[#This Row],[Order Date]])</f>
        <v>12</v>
      </c>
      <c r="J69" t="str">
        <f>TEXT(Table1_1[[#This Row],[Order Date]],"[$-en-US]mmm")</f>
        <v>Dec</v>
      </c>
    </row>
    <row r="70" spans="1:10" x14ac:dyDescent="0.3">
      <c r="A70" t="s">
        <v>80</v>
      </c>
      <c r="B70" s="2">
        <v>45574</v>
      </c>
      <c r="C70" t="s">
        <v>1276</v>
      </c>
      <c r="D70" t="s">
        <v>1290</v>
      </c>
      <c r="E70">
        <v>6</v>
      </c>
      <c r="F70" s="3">
        <v>611</v>
      </c>
      <c r="G70" s="3">
        <v>3666</v>
      </c>
      <c r="H70" t="s">
        <v>1313</v>
      </c>
      <c r="I70">
        <f>MONTH(Table1_1[[#This Row],[Order Date]])</f>
        <v>10</v>
      </c>
      <c r="J70" t="str">
        <f>TEXT(Table1_1[[#This Row],[Order Date]],"[$-en-US]mmm")</f>
        <v>Oct</v>
      </c>
    </row>
    <row r="71" spans="1:10" x14ac:dyDescent="0.3">
      <c r="A71" t="s">
        <v>81</v>
      </c>
      <c r="B71" s="2">
        <v>45449</v>
      </c>
      <c r="C71" t="s">
        <v>1275</v>
      </c>
      <c r="D71" t="s">
        <v>1289</v>
      </c>
      <c r="E71">
        <v>3</v>
      </c>
      <c r="F71" s="3">
        <v>57</v>
      </c>
      <c r="G71" s="3">
        <v>171</v>
      </c>
      <c r="H71" t="s">
        <v>1315</v>
      </c>
      <c r="I71">
        <f>MONTH(Table1_1[[#This Row],[Order Date]])</f>
        <v>6</v>
      </c>
      <c r="J71" t="str">
        <f>TEXT(Table1_1[[#This Row],[Order Date]],"[$-en-US]mmm")</f>
        <v>Jun</v>
      </c>
    </row>
    <row r="72" spans="1:10" x14ac:dyDescent="0.3">
      <c r="A72" t="s">
        <v>82</v>
      </c>
      <c r="B72" s="2">
        <v>45641</v>
      </c>
      <c r="C72" t="s">
        <v>1276</v>
      </c>
      <c r="D72" t="s">
        <v>1290</v>
      </c>
      <c r="E72">
        <v>6</v>
      </c>
      <c r="F72" s="3">
        <v>230</v>
      </c>
      <c r="G72" s="3">
        <v>1380</v>
      </c>
      <c r="H72" t="s">
        <v>1313</v>
      </c>
      <c r="I72">
        <f>MONTH(Table1_1[[#This Row],[Order Date]])</f>
        <v>12</v>
      </c>
      <c r="J72" t="str">
        <f>TEXT(Table1_1[[#This Row],[Order Date]],"[$-en-US]mmm")</f>
        <v>Dec</v>
      </c>
    </row>
    <row r="73" spans="1:10" x14ac:dyDescent="0.3">
      <c r="A73" t="s">
        <v>83</v>
      </c>
      <c r="B73" s="2">
        <v>45578</v>
      </c>
      <c r="C73" t="s">
        <v>1273</v>
      </c>
      <c r="D73" t="s">
        <v>1289</v>
      </c>
      <c r="E73">
        <v>6</v>
      </c>
      <c r="F73" s="3">
        <v>813</v>
      </c>
      <c r="G73" s="3">
        <v>4878</v>
      </c>
      <c r="H73" t="s">
        <v>1316</v>
      </c>
      <c r="I73">
        <f>MONTH(Table1_1[[#This Row],[Order Date]])</f>
        <v>10</v>
      </c>
      <c r="J73" t="str">
        <f>TEXT(Table1_1[[#This Row],[Order Date]],"[$-en-US]mmm")</f>
        <v>Oct</v>
      </c>
    </row>
    <row r="74" spans="1:10" x14ac:dyDescent="0.3">
      <c r="A74" t="s">
        <v>84</v>
      </c>
      <c r="B74" s="2">
        <v>45375</v>
      </c>
      <c r="C74" t="s">
        <v>1279</v>
      </c>
      <c r="D74" t="s">
        <v>1289</v>
      </c>
      <c r="E74">
        <v>4</v>
      </c>
      <c r="F74" s="3">
        <v>900</v>
      </c>
      <c r="G74" s="3">
        <v>3600</v>
      </c>
      <c r="H74" t="s">
        <v>1313</v>
      </c>
      <c r="I74">
        <f>MONTH(Table1_1[[#This Row],[Order Date]])</f>
        <v>3</v>
      </c>
      <c r="J74" t="str">
        <f>TEXT(Table1_1[[#This Row],[Order Date]],"[$-en-US]mmm")</f>
        <v>Mar</v>
      </c>
    </row>
    <row r="75" spans="1:10" x14ac:dyDescent="0.3">
      <c r="A75" t="s">
        <v>85</v>
      </c>
      <c r="B75" s="2">
        <v>45462</v>
      </c>
      <c r="C75" t="s">
        <v>1275</v>
      </c>
      <c r="D75" t="s">
        <v>1289</v>
      </c>
      <c r="E75">
        <v>1</v>
      </c>
      <c r="F75" s="3">
        <v>198</v>
      </c>
      <c r="G75" s="3">
        <v>198</v>
      </c>
      <c r="H75" t="s">
        <v>1316</v>
      </c>
      <c r="I75">
        <f>MONTH(Table1_1[[#This Row],[Order Date]])</f>
        <v>6</v>
      </c>
      <c r="J75" t="str">
        <f>TEXT(Table1_1[[#This Row],[Order Date]],"[$-en-US]mmm")</f>
        <v>Jun</v>
      </c>
    </row>
    <row r="76" spans="1:10" x14ac:dyDescent="0.3">
      <c r="A76" t="s">
        <v>86</v>
      </c>
      <c r="B76" s="2">
        <v>45651</v>
      </c>
      <c r="C76" t="s">
        <v>1274</v>
      </c>
      <c r="D76" t="s">
        <v>1290</v>
      </c>
      <c r="E76">
        <v>5</v>
      </c>
      <c r="F76" s="3">
        <v>178</v>
      </c>
      <c r="G76" s="3">
        <v>890</v>
      </c>
      <c r="H76" t="s">
        <v>1314</v>
      </c>
      <c r="I76">
        <f>MONTH(Table1_1[[#This Row],[Order Date]])</f>
        <v>12</v>
      </c>
      <c r="J76" t="str">
        <f>TEXT(Table1_1[[#This Row],[Order Date]],"[$-en-US]mmm")</f>
        <v>Dec</v>
      </c>
    </row>
    <row r="77" spans="1:10" x14ac:dyDescent="0.3">
      <c r="A77" t="s">
        <v>87</v>
      </c>
      <c r="B77" s="2">
        <v>45532</v>
      </c>
      <c r="C77" t="s">
        <v>1275</v>
      </c>
      <c r="D77" t="s">
        <v>1289</v>
      </c>
      <c r="E77">
        <v>1</v>
      </c>
      <c r="F77" s="3">
        <v>894</v>
      </c>
      <c r="G77" s="3">
        <v>894</v>
      </c>
      <c r="H77" t="s">
        <v>1313</v>
      </c>
      <c r="I77">
        <f>MONTH(Table1_1[[#This Row],[Order Date]])</f>
        <v>8</v>
      </c>
      <c r="J77" t="str">
        <f>TEXT(Table1_1[[#This Row],[Order Date]],"[$-en-US]mmm")</f>
        <v>Aug</v>
      </c>
    </row>
    <row r="78" spans="1:10" x14ac:dyDescent="0.3">
      <c r="A78" t="s">
        <v>88</v>
      </c>
      <c r="B78" s="2">
        <v>45448</v>
      </c>
      <c r="C78" t="s">
        <v>1274</v>
      </c>
      <c r="D78" t="s">
        <v>1290</v>
      </c>
      <c r="E78">
        <v>8</v>
      </c>
      <c r="F78" s="3">
        <v>373</v>
      </c>
      <c r="G78" s="3">
        <v>2984</v>
      </c>
      <c r="H78" t="s">
        <v>1313</v>
      </c>
      <c r="I78">
        <f>MONTH(Table1_1[[#This Row],[Order Date]])</f>
        <v>6</v>
      </c>
      <c r="J78" t="str">
        <f>TEXT(Table1_1[[#This Row],[Order Date]],"[$-en-US]mmm")</f>
        <v>Jun</v>
      </c>
    </row>
    <row r="79" spans="1:10" x14ac:dyDescent="0.3">
      <c r="A79" t="s">
        <v>89</v>
      </c>
      <c r="B79" s="2">
        <v>45390</v>
      </c>
      <c r="C79" t="s">
        <v>1274</v>
      </c>
      <c r="D79" t="s">
        <v>1290</v>
      </c>
      <c r="E79">
        <v>1</v>
      </c>
      <c r="F79" s="3">
        <v>690</v>
      </c>
      <c r="G79" s="3">
        <v>690</v>
      </c>
      <c r="H79" t="s">
        <v>1316</v>
      </c>
      <c r="I79">
        <f>MONTH(Table1_1[[#This Row],[Order Date]])</f>
        <v>4</v>
      </c>
      <c r="J79" t="str">
        <f>TEXT(Table1_1[[#This Row],[Order Date]],"[$-en-US]mmm")</f>
        <v>Apr</v>
      </c>
    </row>
    <row r="80" spans="1:10" x14ac:dyDescent="0.3">
      <c r="A80" t="s">
        <v>90</v>
      </c>
      <c r="B80" s="2">
        <v>45327</v>
      </c>
      <c r="C80" t="s">
        <v>1280</v>
      </c>
      <c r="D80" t="s">
        <v>1290</v>
      </c>
      <c r="E80">
        <v>5</v>
      </c>
      <c r="F80" s="3">
        <v>900</v>
      </c>
      <c r="G80" s="3">
        <v>4500</v>
      </c>
      <c r="H80" t="s">
        <v>1315</v>
      </c>
      <c r="I80">
        <f>MONTH(Table1_1[[#This Row],[Order Date]])</f>
        <v>2</v>
      </c>
      <c r="J80" t="str">
        <f>TEXT(Table1_1[[#This Row],[Order Date]],"[$-en-US]mmm")</f>
        <v>Feb</v>
      </c>
    </row>
    <row r="81" spans="1:10" x14ac:dyDescent="0.3">
      <c r="A81" t="s">
        <v>91</v>
      </c>
      <c r="B81" s="2">
        <v>45639</v>
      </c>
      <c r="C81" t="s">
        <v>1280</v>
      </c>
      <c r="D81" t="s">
        <v>1290</v>
      </c>
      <c r="E81">
        <v>9</v>
      </c>
      <c r="F81" s="3">
        <v>424</v>
      </c>
      <c r="G81" s="3">
        <v>3816</v>
      </c>
      <c r="H81" t="s">
        <v>1315</v>
      </c>
      <c r="I81">
        <f>MONTH(Table1_1[[#This Row],[Order Date]])</f>
        <v>12</v>
      </c>
      <c r="J81" t="str">
        <f>TEXT(Table1_1[[#This Row],[Order Date]],"[$-en-US]mmm")</f>
        <v>Dec</v>
      </c>
    </row>
    <row r="82" spans="1:10" x14ac:dyDescent="0.3">
      <c r="A82" t="s">
        <v>92</v>
      </c>
      <c r="B82" s="2">
        <v>45383</v>
      </c>
      <c r="C82" t="s">
        <v>1276</v>
      </c>
      <c r="D82" t="s">
        <v>1290</v>
      </c>
      <c r="E82">
        <v>2</v>
      </c>
      <c r="F82" s="3">
        <v>282</v>
      </c>
      <c r="G82" s="3">
        <v>564</v>
      </c>
      <c r="H82" t="s">
        <v>1315</v>
      </c>
      <c r="I82">
        <f>MONTH(Table1_1[[#This Row],[Order Date]])</f>
        <v>4</v>
      </c>
      <c r="J82" t="str">
        <f>TEXT(Table1_1[[#This Row],[Order Date]],"[$-en-US]mmm")</f>
        <v>Apr</v>
      </c>
    </row>
    <row r="83" spans="1:10" x14ac:dyDescent="0.3">
      <c r="A83" t="s">
        <v>93</v>
      </c>
      <c r="B83" s="2">
        <v>45514</v>
      </c>
      <c r="C83" t="s">
        <v>1276</v>
      </c>
      <c r="D83" t="s">
        <v>1290</v>
      </c>
      <c r="E83">
        <v>2</v>
      </c>
      <c r="F83" s="3">
        <v>625</v>
      </c>
      <c r="G83" s="3">
        <v>1250</v>
      </c>
      <c r="H83" t="s">
        <v>1315</v>
      </c>
      <c r="I83">
        <f>MONTH(Table1_1[[#This Row],[Order Date]])</f>
        <v>8</v>
      </c>
      <c r="J83" t="str">
        <f>TEXT(Table1_1[[#This Row],[Order Date]],"[$-en-US]mmm")</f>
        <v>Aug</v>
      </c>
    </row>
    <row r="84" spans="1:10" x14ac:dyDescent="0.3">
      <c r="A84" t="s">
        <v>94</v>
      </c>
      <c r="B84" s="2">
        <v>45553</v>
      </c>
      <c r="C84" t="s">
        <v>1280</v>
      </c>
      <c r="D84" t="s">
        <v>1290</v>
      </c>
      <c r="E84">
        <v>7</v>
      </c>
      <c r="F84" s="3">
        <v>635</v>
      </c>
      <c r="G84" s="3">
        <v>4445</v>
      </c>
      <c r="H84" t="s">
        <v>1314</v>
      </c>
      <c r="I84">
        <f>MONTH(Table1_1[[#This Row],[Order Date]])</f>
        <v>9</v>
      </c>
      <c r="J84" t="str">
        <f>TEXT(Table1_1[[#This Row],[Order Date]],"[$-en-US]mmm")</f>
        <v>Sep</v>
      </c>
    </row>
    <row r="85" spans="1:10" x14ac:dyDescent="0.3">
      <c r="A85" t="s">
        <v>96</v>
      </c>
      <c r="B85" s="2">
        <v>45567</v>
      </c>
      <c r="C85" t="s">
        <v>1275</v>
      </c>
      <c r="D85" t="s">
        <v>1289</v>
      </c>
      <c r="E85">
        <v>1</v>
      </c>
      <c r="F85" s="3">
        <v>547</v>
      </c>
      <c r="G85" s="3">
        <v>547</v>
      </c>
      <c r="H85" t="s">
        <v>1313</v>
      </c>
      <c r="I85">
        <f>MONTH(Table1_1[[#This Row],[Order Date]])</f>
        <v>10</v>
      </c>
      <c r="J85" t="str">
        <f>TEXT(Table1_1[[#This Row],[Order Date]],"[$-en-US]mmm")</f>
        <v>Oct</v>
      </c>
    </row>
    <row r="86" spans="1:10" x14ac:dyDescent="0.3">
      <c r="A86" t="s">
        <v>97</v>
      </c>
      <c r="B86" s="2">
        <v>45632</v>
      </c>
      <c r="C86" t="s">
        <v>1280</v>
      </c>
      <c r="D86" t="s">
        <v>1290</v>
      </c>
      <c r="E86">
        <v>7</v>
      </c>
      <c r="F86" s="3">
        <v>86</v>
      </c>
      <c r="G86" s="3">
        <v>602</v>
      </c>
      <c r="H86" t="s">
        <v>1315</v>
      </c>
      <c r="I86">
        <f>MONTH(Table1_1[[#This Row],[Order Date]])</f>
        <v>12</v>
      </c>
      <c r="J86" t="str">
        <f>TEXT(Table1_1[[#This Row],[Order Date]],"[$-en-US]mmm")</f>
        <v>Dec</v>
      </c>
    </row>
    <row r="87" spans="1:10" x14ac:dyDescent="0.3">
      <c r="A87" t="s">
        <v>98</v>
      </c>
      <c r="B87" s="2">
        <v>45445</v>
      </c>
      <c r="C87" t="s">
        <v>1280</v>
      </c>
      <c r="D87" t="s">
        <v>1290</v>
      </c>
      <c r="E87">
        <v>2</v>
      </c>
      <c r="F87" s="3">
        <v>752</v>
      </c>
      <c r="G87" s="3">
        <v>1504</v>
      </c>
      <c r="H87" t="s">
        <v>1315</v>
      </c>
      <c r="I87">
        <f>MONTH(Table1_1[[#This Row],[Order Date]])</f>
        <v>6</v>
      </c>
      <c r="J87" t="str">
        <f>TEXT(Table1_1[[#This Row],[Order Date]],"[$-en-US]mmm")</f>
        <v>Jun</v>
      </c>
    </row>
    <row r="88" spans="1:10" x14ac:dyDescent="0.3">
      <c r="A88" t="s">
        <v>99</v>
      </c>
      <c r="B88" s="2">
        <v>45648</v>
      </c>
      <c r="C88" t="s">
        <v>1275</v>
      </c>
      <c r="D88" t="s">
        <v>1289</v>
      </c>
      <c r="E88">
        <v>6</v>
      </c>
      <c r="F88" s="3">
        <v>427</v>
      </c>
      <c r="G88" s="3">
        <v>2562</v>
      </c>
      <c r="H88" t="s">
        <v>1315</v>
      </c>
      <c r="I88">
        <f>MONTH(Table1_1[[#This Row],[Order Date]])</f>
        <v>12</v>
      </c>
      <c r="J88" t="str">
        <f>TEXT(Table1_1[[#This Row],[Order Date]],"[$-en-US]mmm")</f>
        <v>Dec</v>
      </c>
    </row>
    <row r="89" spans="1:10" x14ac:dyDescent="0.3">
      <c r="A89" t="s">
        <v>100</v>
      </c>
      <c r="B89" s="2">
        <v>45632</v>
      </c>
      <c r="C89" t="s">
        <v>1279</v>
      </c>
      <c r="D89" t="s">
        <v>1289</v>
      </c>
      <c r="E89">
        <v>4</v>
      </c>
      <c r="F89" s="3">
        <v>445</v>
      </c>
      <c r="G89" s="3">
        <v>1780</v>
      </c>
      <c r="H89" t="s">
        <v>1316</v>
      </c>
      <c r="I89">
        <f>MONTH(Table1_1[[#This Row],[Order Date]])</f>
        <v>12</v>
      </c>
      <c r="J89" t="str">
        <f>TEXT(Table1_1[[#This Row],[Order Date]],"[$-en-US]mmm")</f>
        <v>Dec</v>
      </c>
    </row>
    <row r="90" spans="1:10" x14ac:dyDescent="0.3">
      <c r="A90" t="s">
        <v>101</v>
      </c>
      <c r="B90" s="2">
        <v>45446</v>
      </c>
      <c r="C90" t="s">
        <v>1279</v>
      </c>
      <c r="D90" t="s">
        <v>1289</v>
      </c>
      <c r="E90">
        <v>10</v>
      </c>
      <c r="F90" s="3">
        <v>597</v>
      </c>
      <c r="G90" s="3">
        <v>5970</v>
      </c>
      <c r="H90" t="s">
        <v>1316</v>
      </c>
      <c r="I90">
        <f>MONTH(Table1_1[[#This Row],[Order Date]])</f>
        <v>6</v>
      </c>
      <c r="J90" t="str">
        <f>TEXT(Table1_1[[#This Row],[Order Date]],"[$-en-US]mmm")</f>
        <v>Jun</v>
      </c>
    </row>
    <row r="91" spans="1:10" x14ac:dyDescent="0.3">
      <c r="A91" t="s">
        <v>102</v>
      </c>
      <c r="B91" s="2">
        <v>45399</v>
      </c>
      <c r="C91" t="s">
        <v>1276</v>
      </c>
      <c r="D91" t="s">
        <v>1290</v>
      </c>
      <c r="E91">
        <v>5</v>
      </c>
      <c r="F91" s="3">
        <v>308</v>
      </c>
      <c r="G91" s="3">
        <v>1540</v>
      </c>
      <c r="H91" t="s">
        <v>1316</v>
      </c>
      <c r="I91">
        <f>MONTH(Table1_1[[#This Row],[Order Date]])</f>
        <v>4</v>
      </c>
      <c r="J91" t="str">
        <f>TEXT(Table1_1[[#This Row],[Order Date]],"[$-en-US]mmm")</f>
        <v>Apr</v>
      </c>
    </row>
    <row r="92" spans="1:10" x14ac:dyDescent="0.3">
      <c r="A92" t="s">
        <v>103</v>
      </c>
      <c r="B92" s="2">
        <v>45518</v>
      </c>
      <c r="C92" t="s">
        <v>1280</v>
      </c>
      <c r="D92" t="s">
        <v>1290</v>
      </c>
      <c r="E92">
        <v>8</v>
      </c>
      <c r="F92" s="3">
        <v>467</v>
      </c>
      <c r="G92" s="3">
        <v>3736</v>
      </c>
      <c r="H92" t="s">
        <v>1313</v>
      </c>
      <c r="I92">
        <f>MONTH(Table1_1[[#This Row],[Order Date]])</f>
        <v>8</v>
      </c>
      <c r="J92" t="str">
        <f>TEXT(Table1_1[[#This Row],[Order Date]],"[$-en-US]mmm")</f>
        <v>Aug</v>
      </c>
    </row>
    <row r="93" spans="1:10" x14ac:dyDescent="0.3">
      <c r="A93" t="s">
        <v>104</v>
      </c>
      <c r="B93" s="2">
        <v>45335</v>
      </c>
      <c r="C93" t="s">
        <v>1282</v>
      </c>
      <c r="D93" t="s">
        <v>1290</v>
      </c>
      <c r="E93">
        <v>3</v>
      </c>
      <c r="F93" s="3">
        <v>689</v>
      </c>
      <c r="G93" s="3">
        <v>2067</v>
      </c>
      <c r="H93" t="s">
        <v>1315</v>
      </c>
      <c r="I93">
        <f>MONTH(Table1_1[[#This Row],[Order Date]])</f>
        <v>2</v>
      </c>
      <c r="J93" t="str">
        <f>TEXT(Table1_1[[#This Row],[Order Date]],"[$-en-US]mmm")</f>
        <v>Feb</v>
      </c>
    </row>
    <row r="94" spans="1:10" x14ac:dyDescent="0.3">
      <c r="A94" t="s">
        <v>105</v>
      </c>
      <c r="B94" s="2">
        <v>45412</v>
      </c>
      <c r="C94" t="s">
        <v>1280</v>
      </c>
      <c r="D94" t="s">
        <v>1290</v>
      </c>
      <c r="E94">
        <v>2</v>
      </c>
      <c r="F94" s="3">
        <v>853</v>
      </c>
      <c r="G94" s="3">
        <v>1706</v>
      </c>
      <c r="H94" t="s">
        <v>1315</v>
      </c>
      <c r="I94">
        <f>MONTH(Table1_1[[#This Row],[Order Date]])</f>
        <v>4</v>
      </c>
      <c r="J94" t="str">
        <f>TEXT(Table1_1[[#This Row],[Order Date]],"[$-en-US]mmm")</f>
        <v>Apr</v>
      </c>
    </row>
    <row r="95" spans="1:10" x14ac:dyDescent="0.3">
      <c r="A95" t="s">
        <v>106</v>
      </c>
      <c r="B95" s="2">
        <v>45304</v>
      </c>
      <c r="C95" t="s">
        <v>1274</v>
      </c>
      <c r="D95" t="s">
        <v>1290</v>
      </c>
      <c r="E95">
        <v>4</v>
      </c>
      <c r="F95" s="3">
        <v>165</v>
      </c>
      <c r="G95" s="3">
        <v>660</v>
      </c>
      <c r="H95" t="s">
        <v>1314</v>
      </c>
      <c r="I95">
        <f>MONTH(Table1_1[[#This Row],[Order Date]])</f>
        <v>1</v>
      </c>
      <c r="J95" t="str">
        <f>TEXT(Table1_1[[#This Row],[Order Date]],"[$-en-US]mmm")</f>
        <v>Jan</v>
      </c>
    </row>
    <row r="96" spans="1:10" x14ac:dyDescent="0.3">
      <c r="A96" t="s">
        <v>107</v>
      </c>
      <c r="B96" s="2">
        <v>45329</v>
      </c>
      <c r="C96" t="s">
        <v>1274</v>
      </c>
      <c r="D96" t="s">
        <v>1290</v>
      </c>
      <c r="E96">
        <v>8</v>
      </c>
      <c r="F96" s="3">
        <v>640</v>
      </c>
      <c r="G96" s="3">
        <v>5120</v>
      </c>
      <c r="H96" t="s">
        <v>1316</v>
      </c>
      <c r="I96">
        <f>MONTH(Table1_1[[#This Row],[Order Date]])</f>
        <v>2</v>
      </c>
      <c r="J96" t="str">
        <f>TEXT(Table1_1[[#This Row],[Order Date]],"[$-en-US]mmm")</f>
        <v>Feb</v>
      </c>
    </row>
    <row r="97" spans="1:10" x14ac:dyDescent="0.3">
      <c r="A97" t="s">
        <v>108</v>
      </c>
      <c r="B97" s="2">
        <v>45648</v>
      </c>
      <c r="C97" t="s">
        <v>1275</v>
      </c>
      <c r="D97" t="s">
        <v>1289</v>
      </c>
      <c r="E97">
        <v>10</v>
      </c>
      <c r="F97" s="3">
        <v>214</v>
      </c>
      <c r="G97" s="3">
        <v>2140</v>
      </c>
      <c r="H97" t="s">
        <v>1316</v>
      </c>
      <c r="I97">
        <f>MONTH(Table1_1[[#This Row],[Order Date]])</f>
        <v>12</v>
      </c>
      <c r="J97" t="str">
        <f>TEXT(Table1_1[[#This Row],[Order Date]],"[$-en-US]mmm")</f>
        <v>Dec</v>
      </c>
    </row>
    <row r="98" spans="1:10" x14ac:dyDescent="0.3">
      <c r="A98" t="s">
        <v>109</v>
      </c>
      <c r="B98" s="2">
        <v>45367</v>
      </c>
      <c r="C98" t="s">
        <v>1282</v>
      </c>
      <c r="D98" t="s">
        <v>1290</v>
      </c>
      <c r="E98">
        <v>7</v>
      </c>
      <c r="F98" s="3">
        <v>264</v>
      </c>
      <c r="G98" s="3">
        <v>1848</v>
      </c>
      <c r="H98" t="s">
        <v>1314</v>
      </c>
      <c r="I98">
        <f>MONTH(Table1_1[[#This Row],[Order Date]])</f>
        <v>3</v>
      </c>
      <c r="J98" t="str">
        <f>TEXT(Table1_1[[#This Row],[Order Date]],"[$-en-US]mmm")</f>
        <v>Mar</v>
      </c>
    </row>
    <row r="99" spans="1:10" x14ac:dyDescent="0.3">
      <c r="A99" t="s">
        <v>110</v>
      </c>
      <c r="B99" s="2">
        <v>45382</v>
      </c>
      <c r="C99" t="s">
        <v>1273</v>
      </c>
      <c r="D99" t="s">
        <v>1289</v>
      </c>
      <c r="E99">
        <v>7</v>
      </c>
      <c r="F99" s="3">
        <v>239</v>
      </c>
      <c r="G99" s="3">
        <v>1673</v>
      </c>
      <c r="H99" t="s">
        <v>1316</v>
      </c>
      <c r="I99">
        <f>MONTH(Table1_1[[#This Row],[Order Date]])</f>
        <v>3</v>
      </c>
      <c r="J99" t="str">
        <f>TEXT(Table1_1[[#This Row],[Order Date]],"[$-en-US]mmm")</f>
        <v>Mar</v>
      </c>
    </row>
    <row r="100" spans="1:10" x14ac:dyDescent="0.3">
      <c r="A100" t="s">
        <v>111</v>
      </c>
      <c r="B100" s="2">
        <v>45354</v>
      </c>
      <c r="C100" t="s">
        <v>1276</v>
      </c>
      <c r="D100" t="s">
        <v>1290</v>
      </c>
      <c r="E100">
        <v>9</v>
      </c>
      <c r="F100" s="3">
        <v>270</v>
      </c>
      <c r="G100" s="3">
        <v>2430</v>
      </c>
      <c r="H100" t="s">
        <v>1316</v>
      </c>
      <c r="I100">
        <f>MONTH(Table1_1[[#This Row],[Order Date]])</f>
        <v>3</v>
      </c>
      <c r="J100" t="str">
        <f>TEXT(Table1_1[[#This Row],[Order Date]],"[$-en-US]mmm")</f>
        <v>Mar</v>
      </c>
    </row>
    <row r="101" spans="1:10" x14ac:dyDescent="0.3">
      <c r="A101" t="s">
        <v>112</v>
      </c>
      <c r="B101" s="2">
        <v>45563</v>
      </c>
      <c r="C101" t="s">
        <v>1279</v>
      </c>
      <c r="D101" t="s">
        <v>1289</v>
      </c>
      <c r="E101">
        <v>8</v>
      </c>
      <c r="F101" s="3">
        <v>698</v>
      </c>
      <c r="G101" s="3">
        <v>5584</v>
      </c>
      <c r="H101" t="s">
        <v>1315</v>
      </c>
      <c r="I101">
        <f>MONTH(Table1_1[[#This Row],[Order Date]])</f>
        <v>9</v>
      </c>
      <c r="J101" t="str">
        <f>TEXT(Table1_1[[#This Row],[Order Date]],"[$-en-US]mmm")</f>
        <v>Sep</v>
      </c>
    </row>
    <row r="102" spans="1:10" x14ac:dyDescent="0.3">
      <c r="A102" t="s">
        <v>113</v>
      </c>
      <c r="B102" s="2">
        <v>45550</v>
      </c>
      <c r="C102" t="s">
        <v>1282</v>
      </c>
      <c r="D102" t="s">
        <v>1290</v>
      </c>
      <c r="E102">
        <v>10</v>
      </c>
      <c r="F102" s="3">
        <v>849</v>
      </c>
      <c r="G102" s="3">
        <v>8490</v>
      </c>
      <c r="H102" t="s">
        <v>1316</v>
      </c>
      <c r="I102">
        <f>MONTH(Table1_1[[#This Row],[Order Date]])</f>
        <v>9</v>
      </c>
      <c r="J102" t="str">
        <f>TEXT(Table1_1[[#This Row],[Order Date]],"[$-en-US]mmm")</f>
        <v>Sep</v>
      </c>
    </row>
    <row r="103" spans="1:10" x14ac:dyDescent="0.3">
      <c r="A103" t="s">
        <v>114</v>
      </c>
      <c r="B103" s="2">
        <v>45535</v>
      </c>
      <c r="C103" t="s">
        <v>1282</v>
      </c>
      <c r="D103" t="s">
        <v>1290</v>
      </c>
      <c r="E103">
        <v>3</v>
      </c>
      <c r="F103" s="3">
        <v>776</v>
      </c>
      <c r="G103" s="3">
        <v>2328</v>
      </c>
      <c r="H103" t="s">
        <v>1316</v>
      </c>
      <c r="I103">
        <f>MONTH(Table1_1[[#This Row],[Order Date]])</f>
        <v>8</v>
      </c>
      <c r="J103" t="str">
        <f>TEXT(Table1_1[[#This Row],[Order Date]],"[$-en-US]mmm")</f>
        <v>Aug</v>
      </c>
    </row>
    <row r="104" spans="1:10" x14ac:dyDescent="0.3">
      <c r="A104" t="s">
        <v>115</v>
      </c>
      <c r="B104" s="2">
        <v>45618</v>
      </c>
      <c r="C104" t="s">
        <v>1277</v>
      </c>
      <c r="D104" t="s">
        <v>1289</v>
      </c>
      <c r="E104">
        <v>4</v>
      </c>
      <c r="F104" s="3">
        <v>875</v>
      </c>
      <c r="G104" s="3">
        <v>3500</v>
      </c>
      <c r="H104" t="s">
        <v>1315</v>
      </c>
      <c r="I104">
        <f>MONTH(Table1_1[[#This Row],[Order Date]])</f>
        <v>11</v>
      </c>
      <c r="J104" t="str">
        <f>TEXT(Table1_1[[#This Row],[Order Date]],"[$-en-US]mmm")</f>
        <v>Nov</v>
      </c>
    </row>
    <row r="105" spans="1:10" x14ac:dyDescent="0.3">
      <c r="A105" t="s">
        <v>116</v>
      </c>
      <c r="B105" s="2">
        <v>45517</v>
      </c>
      <c r="C105" t="s">
        <v>1282</v>
      </c>
      <c r="D105" t="s">
        <v>1290</v>
      </c>
      <c r="E105">
        <v>4</v>
      </c>
      <c r="F105" s="3">
        <v>296</v>
      </c>
      <c r="G105" s="3">
        <v>1184</v>
      </c>
      <c r="H105" t="s">
        <v>1314</v>
      </c>
      <c r="I105">
        <f>MONTH(Table1_1[[#This Row],[Order Date]])</f>
        <v>8</v>
      </c>
      <c r="J105" t="str">
        <f>TEXT(Table1_1[[#This Row],[Order Date]],"[$-en-US]mmm")</f>
        <v>Aug</v>
      </c>
    </row>
    <row r="106" spans="1:10" x14ac:dyDescent="0.3">
      <c r="A106" t="s">
        <v>117</v>
      </c>
      <c r="B106" s="2">
        <v>45463</v>
      </c>
      <c r="C106" t="s">
        <v>1277</v>
      </c>
      <c r="D106" t="s">
        <v>1289</v>
      </c>
      <c r="E106">
        <v>4</v>
      </c>
      <c r="F106" s="3">
        <v>293</v>
      </c>
      <c r="G106" s="3">
        <v>1172</v>
      </c>
      <c r="H106" t="s">
        <v>1315</v>
      </c>
      <c r="I106">
        <f>MONTH(Table1_1[[#This Row],[Order Date]])</f>
        <v>6</v>
      </c>
      <c r="J106" t="str">
        <f>TEXT(Table1_1[[#This Row],[Order Date]],"[$-en-US]mmm")</f>
        <v>Jun</v>
      </c>
    </row>
    <row r="107" spans="1:10" x14ac:dyDescent="0.3">
      <c r="A107" t="s">
        <v>118</v>
      </c>
      <c r="B107" s="2">
        <v>45410</v>
      </c>
      <c r="C107" t="s">
        <v>1273</v>
      </c>
      <c r="D107" t="s">
        <v>1289</v>
      </c>
      <c r="E107">
        <v>3</v>
      </c>
      <c r="F107" s="3">
        <v>169</v>
      </c>
      <c r="G107" s="3">
        <v>507</v>
      </c>
      <c r="H107" t="s">
        <v>1316</v>
      </c>
      <c r="I107">
        <f>MONTH(Table1_1[[#This Row],[Order Date]])</f>
        <v>4</v>
      </c>
      <c r="J107" t="str">
        <f>TEXT(Table1_1[[#This Row],[Order Date]],"[$-en-US]mmm")</f>
        <v>Apr</v>
      </c>
    </row>
    <row r="108" spans="1:10" x14ac:dyDescent="0.3">
      <c r="A108" t="s">
        <v>119</v>
      </c>
      <c r="B108" s="2">
        <v>45504</v>
      </c>
      <c r="C108" t="s">
        <v>1279</v>
      </c>
      <c r="D108" t="s">
        <v>1289</v>
      </c>
      <c r="E108">
        <v>4</v>
      </c>
      <c r="F108" s="3">
        <v>80</v>
      </c>
      <c r="G108" s="3">
        <v>320</v>
      </c>
      <c r="H108" t="s">
        <v>1316</v>
      </c>
      <c r="I108">
        <f>MONTH(Table1_1[[#This Row],[Order Date]])</f>
        <v>7</v>
      </c>
      <c r="J108" t="str">
        <f>TEXT(Table1_1[[#This Row],[Order Date]],"[$-en-US]mmm")</f>
        <v>Jul</v>
      </c>
    </row>
    <row r="109" spans="1:10" x14ac:dyDescent="0.3">
      <c r="A109" t="s">
        <v>120</v>
      </c>
      <c r="B109" s="2">
        <v>45504</v>
      </c>
      <c r="C109" t="s">
        <v>1280</v>
      </c>
      <c r="D109" t="s">
        <v>1290</v>
      </c>
      <c r="E109">
        <v>9</v>
      </c>
      <c r="F109" s="3">
        <v>492</v>
      </c>
      <c r="G109" s="3">
        <v>4428</v>
      </c>
      <c r="H109" t="s">
        <v>1314</v>
      </c>
      <c r="I109">
        <f>MONTH(Table1_1[[#This Row],[Order Date]])</f>
        <v>7</v>
      </c>
      <c r="J109" t="str">
        <f>TEXT(Table1_1[[#This Row],[Order Date]],"[$-en-US]mmm")</f>
        <v>Jul</v>
      </c>
    </row>
    <row r="110" spans="1:10" x14ac:dyDescent="0.3">
      <c r="A110" t="s">
        <v>121</v>
      </c>
      <c r="B110" s="2">
        <v>45591</v>
      </c>
      <c r="C110" t="s">
        <v>1274</v>
      </c>
      <c r="D110" t="s">
        <v>1290</v>
      </c>
      <c r="E110">
        <v>7</v>
      </c>
      <c r="F110" s="3">
        <v>413</v>
      </c>
      <c r="G110" s="3">
        <v>2891</v>
      </c>
      <c r="H110" t="s">
        <v>1314</v>
      </c>
      <c r="I110">
        <f>MONTH(Table1_1[[#This Row],[Order Date]])</f>
        <v>10</v>
      </c>
      <c r="J110" t="str">
        <f>TEXT(Table1_1[[#This Row],[Order Date]],"[$-en-US]mmm")</f>
        <v>Oct</v>
      </c>
    </row>
    <row r="111" spans="1:10" x14ac:dyDescent="0.3">
      <c r="A111" t="s">
        <v>122</v>
      </c>
      <c r="B111" s="2">
        <v>45472</v>
      </c>
      <c r="C111" t="s">
        <v>1275</v>
      </c>
      <c r="D111" t="s">
        <v>1289</v>
      </c>
      <c r="E111">
        <v>8</v>
      </c>
      <c r="F111" s="3">
        <v>21</v>
      </c>
      <c r="G111" s="3">
        <v>168</v>
      </c>
      <c r="H111" t="s">
        <v>1315</v>
      </c>
      <c r="I111">
        <f>MONTH(Table1_1[[#This Row],[Order Date]])</f>
        <v>6</v>
      </c>
      <c r="J111" t="str">
        <f>TEXT(Table1_1[[#This Row],[Order Date]],"[$-en-US]mmm")</f>
        <v>Jun</v>
      </c>
    </row>
    <row r="112" spans="1:10" x14ac:dyDescent="0.3">
      <c r="A112" t="s">
        <v>123</v>
      </c>
      <c r="B112" s="2">
        <v>45571</v>
      </c>
      <c r="C112" t="s">
        <v>1275</v>
      </c>
      <c r="D112" t="s">
        <v>1289</v>
      </c>
      <c r="E112">
        <v>7</v>
      </c>
      <c r="F112" s="3">
        <v>566</v>
      </c>
      <c r="G112" s="3">
        <v>3962</v>
      </c>
      <c r="H112" t="s">
        <v>1313</v>
      </c>
      <c r="I112">
        <f>MONTH(Table1_1[[#This Row],[Order Date]])</f>
        <v>10</v>
      </c>
      <c r="J112" t="str">
        <f>TEXT(Table1_1[[#This Row],[Order Date]],"[$-en-US]mmm")</f>
        <v>Oct</v>
      </c>
    </row>
    <row r="113" spans="1:10" x14ac:dyDescent="0.3">
      <c r="A113" t="s">
        <v>124</v>
      </c>
      <c r="B113" s="2">
        <v>45515</v>
      </c>
      <c r="C113" t="s">
        <v>1282</v>
      </c>
      <c r="D113" t="s">
        <v>1290</v>
      </c>
      <c r="E113">
        <v>4</v>
      </c>
      <c r="F113" s="3">
        <v>294</v>
      </c>
      <c r="G113" s="3">
        <v>1176</v>
      </c>
      <c r="H113" t="s">
        <v>1316</v>
      </c>
      <c r="I113">
        <f>MONTH(Table1_1[[#This Row],[Order Date]])</f>
        <v>8</v>
      </c>
      <c r="J113" t="str">
        <f>TEXT(Table1_1[[#This Row],[Order Date]],"[$-en-US]mmm")</f>
        <v>Aug</v>
      </c>
    </row>
    <row r="114" spans="1:10" x14ac:dyDescent="0.3">
      <c r="A114" t="s">
        <v>126</v>
      </c>
      <c r="B114" s="2">
        <v>45610</v>
      </c>
      <c r="C114" t="s">
        <v>1279</v>
      </c>
      <c r="D114" t="s">
        <v>1289</v>
      </c>
      <c r="E114">
        <v>8</v>
      </c>
      <c r="F114" s="3">
        <v>145</v>
      </c>
      <c r="G114" s="3">
        <v>1160</v>
      </c>
      <c r="H114" t="s">
        <v>1314</v>
      </c>
      <c r="I114">
        <f>MONTH(Table1_1[[#This Row],[Order Date]])</f>
        <v>11</v>
      </c>
      <c r="J114" t="str">
        <f>TEXT(Table1_1[[#This Row],[Order Date]],"[$-en-US]mmm")</f>
        <v>Nov</v>
      </c>
    </row>
    <row r="115" spans="1:10" x14ac:dyDescent="0.3">
      <c r="A115" t="s">
        <v>127</v>
      </c>
      <c r="B115" s="2">
        <v>45631</v>
      </c>
      <c r="C115" t="s">
        <v>1275</v>
      </c>
      <c r="D115" t="s">
        <v>1289</v>
      </c>
      <c r="E115">
        <v>10</v>
      </c>
      <c r="F115" s="3">
        <v>592</v>
      </c>
      <c r="G115" s="3">
        <v>5920</v>
      </c>
      <c r="H115" t="s">
        <v>1314</v>
      </c>
      <c r="I115">
        <f>MONTH(Table1_1[[#This Row],[Order Date]])</f>
        <v>12</v>
      </c>
      <c r="J115" t="str">
        <f>TEXT(Table1_1[[#This Row],[Order Date]],"[$-en-US]mmm")</f>
        <v>Dec</v>
      </c>
    </row>
    <row r="116" spans="1:10" x14ac:dyDescent="0.3">
      <c r="A116" t="s">
        <v>128</v>
      </c>
      <c r="B116" s="2">
        <v>45528</v>
      </c>
      <c r="C116" t="s">
        <v>1273</v>
      </c>
      <c r="D116" t="s">
        <v>1289</v>
      </c>
      <c r="E116">
        <v>7</v>
      </c>
      <c r="F116" s="3">
        <v>153</v>
      </c>
      <c r="G116" s="3">
        <v>1071</v>
      </c>
      <c r="H116" t="s">
        <v>1313</v>
      </c>
      <c r="I116">
        <f>MONTH(Table1_1[[#This Row],[Order Date]])</f>
        <v>8</v>
      </c>
      <c r="J116" t="str">
        <f>TEXT(Table1_1[[#This Row],[Order Date]],"[$-en-US]mmm")</f>
        <v>Aug</v>
      </c>
    </row>
    <row r="117" spans="1:10" x14ac:dyDescent="0.3">
      <c r="A117" t="s">
        <v>129</v>
      </c>
      <c r="B117" s="2">
        <v>45459</v>
      </c>
      <c r="C117" t="s">
        <v>1276</v>
      </c>
      <c r="D117" t="s">
        <v>1290</v>
      </c>
      <c r="E117">
        <v>5</v>
      </c>
      <c r="F117" s="3">
        <v>403</v>
      </c>
      <c r="G117" s="3">
        <v>2015</v>
      </c>
      <c r="H117" t="s">
        <v>1313</v>
      </c>
      <c r="I117">
        <f>MONTH(Table1_1[[#This Row],[Order Date]])</f>
        <v>6</v>
      </c>
      <c r="J117" t="str">
        <f>TEXT(Table1_1[[#This Row],[Order Date]],"[$-en-US]mmm")</f>
        <v>Jun</v>
      </c>
    </row>
    <row r="118" spans="1:10" x14ac:dyDescent="0.3">
      <c r="A118" t="s">
        <v>130</v>
      </c>
      <c r="B118" s="2">
        <v>45486</v>
      </c>
      <c r="C118" t="s">
        <v>1282</v>
      </c>
      <c r="D118" t="s">
        <v>1290</v>
      </c>
      <c r="E118">
        <v>6</v>
      </c>
      <c r="F118" s="3">
        <v>360</v>
      </c>
      <c r="G118" s="3">
        <v>2160</v>
      </c>
      <c r="H118" t="s">
        <v>1315</v>
      </c>
      <c r="I118">
        <f>MONTH(Table1_1[[#This Row],[Order Date]])</f>
        <v>7</v>
      </c>
      <c r="J118" t="str">
        <f>TEXT(Table1_1[[#This Row],[Order Date]],"[$-en-US]mmm")</f>
        <v>Jul</v>
      </c>
    </row>
    <row r="119" spans="1:10" x14ac:dyDescent="0.3">
      <c r="A119" t="s">
        <v>131</v>
      </c>
      <c r="B119" s="2">
        <v>45333</v>
      </c>
      <c r="C119" t="s">
        <v>1275</v>
      </c>
      <c r="D119" t="s">
        <v>1289</v>
      </c>
      <c r="E119">
        <v>5</v>
      </c>
      <c r="F119" s="3">
        <v>869</v>
      </c>
      <c r="G119" s="3">
        <v>4345</v>
      </c>
      <c r="H119" t="s">
        <v>1316</v>
      </c>
      <c r="I119">
        <f>MONTH(Table1_1[[#This Row],[Order Date]])</f>
        <v>2</v>
      </c>
      <c r="J119" t="str">
        <f>TEXT(Table1_1[[#This Row],[Order Date]],"[$-en-US]mmm")</f>
        <v>Feb</v>
      </c>
    </row>
    <row r="120" spans="1:10" x14ac:dyDescent="0.3">
      <c r="A120" t="s">
        <v>132</v>
      </c>
      <c r="B120" s="2">
        <v>45471</v>
      </c>
      <c r="C120" t="s">
        <v>1276</v>
      </c>
      <c r="D120" t="s">
        <v>1290</v>
      </c>
      <c r="E120">
        <v>9</v>
      </c>
      <c r="F120" s="3">
        <v>68</v>
      </c>
      <c r="G120" s="3">
        <v>612</v>
      </c>
      <c r="H120" t="s">
        <v>1313</v>
      </c>
      <c r="I120">
        <f>MONTH(Table1_1[[#This Row],[Order Date]])</f>
        <v>6</v>
      </c>
      <c r="J120" t="str">
        <f>TEXT(Table1_1[[#This Row],[Order Date]],"[$-en-US]mmm")</f>
        <v>Jun</v>
      </c>
    </row>
    <row r="121" spans="1:10" x14ac:dyDescent="0.3">
      <c r="A121" t="s">
        <v>133</v>
      </c>
      <c r="B121" s="2">
        <v>45307</v>
      </c>
      <c r="C121" t="s">
        <v>1273</v>
      </c>
      <c r="D121" t="s">
        <v>1289</v>
      </c>
      <c r="E121">
        <v>1</v>
      </c>
      <c r="F121" s="3">
        <v>787</v>
      </c>
      <c r="G121" s="3">
        <v>787</v>
      </c>
      <c r="H121" t="s">
        <v>1313</v>
      </c>
      <c r="I121">
        <f>MONTH(Table1_1[[#This Row],[Order Date]])</f>
        <v>1</v>
      </c>
      <c r="J121" t="str">
        <f>TEXT(Table1_1[[#This Row],[Order Date]],"[$-en-US]mmm")</f>
        <v>Jan</v>
      </c>
    </row>
    <row r="122" spans="1:10" x14ac:dyDescent="0.3">
      <c r="A122" t="s">
        <v>135</v>
      </c>
      <c r="B122" s="2">
        <v>45350</v>
      </c>
      <c r="C122" t="s">
        <v>1279</v>
      </c>
      <c r="D122" t="s">
        <v>1289</v>
      </c>
      <c r="E122">
        <v>8</v>
      </c>
      <c r="F122" s="3">
        <v>700</v>
      </c>
      <c r="G122" s="3">
        <v>5600</v>
      </c>
      <c r="H122" t="s">
        <v>1313</v>
      </c>
      <c r="I122">
        <f>MONTH(Table1_1[[#This Row],[Order Date]])</f>
        <v>2</v>
      </c>
      <c r="J122" t="str">
        <f>TEXT(Table1_1[[#This Row],[Order Date]],"[$-en-US]mmm")</f>
        <v>Feb</v>
      </c>
    </row>
    <row r="123" spans="1:10" x14ac:dyDescent="0.3">
      <c r="A123" t="s">
        <v>136</v>
      </c>
      <c r="B123" s="2">
        <v>45480</v>
      </c>
      <c r="C123" t="s">
        <v>1282</v>
      </c>
      <c r="D123" t="s">
        <v>1290</v>
      </c>
      <c r="E123">
        <v>5</v>
      </c>
      <c r="F123" s="3">
        <v>800</v>
      </c>
      <c r="G123" s="3">
        <v>4000</v>
      </c>
      <c r="H123" t="s">
        <v>1313</v>
      </c>
      <c r="I123">
        <f>MONTH(Table1_1[[#This Row],[Order Date]])</f>
        <v>7</v>
      </c>
      <c r="J123" t="str">
        <f>TEXT(Table1_1[[#This Row],[Order Date]],"[$-en-US]mmm")</f>
        <v>Jul</v>
      </c>
    </row>
    <row r="124" spans="1:10" x14ac:dyDescent="0.3">
      <c r="A124" t="s">
        <v>137</v>
      </c>
      <c r="B124" s="2">
        <v>45347</v>
      </c>
      <c r="C124" t="s">
        <v>1273</v>
      </c>
      <c r="D124" t="s">
        <v>1289</v>
      </c>
      <c r="E124">
        <v>3</v>
      </c>
      <c r="F124" s="3">
        <v>333</v>
      </c>
      <c r="G124" s="3">
        <v>999</v>
      </c>
      <c r="H124" t="s">
        <v>1314</v>
      </c>
      <c r="I124">
        <f>MONTH(Table1_1[[#This Row],[Order Date]])</f>
        <v>2</v>
      </c>
      <c r="J124" t="str">
        <f>TEXT(Table1_1[[#This Row],[Order Date]],"[$-en-US]mmm")</f>
        <v>Feb</v>
      </c>
    </row>
    <row r="125" spans="1:10" x14ac:dyDescent="0.3">
      <c r="A125" t="s">
        <v>138</v>
      </c>
      <c r="B125" s="2">
        <v>45484</v>
      </c>
      <c r="C125" t="s">
        <v>1277</v>
      </c>
      <c r="D125" t="s">
        <v>1289</v>
      </c>
      <c r="E125">
        <v>10</v>
      </c>
      <c r="F125" s="3">
        <v>708</v>
      </c>
      <c r="G125" s="3">
        <v>7080</v>
      </c>
      <c r="H125" t="s">
        <v>1316</v>
      </c>
      <c r="I125">
        <f>MONTH(Table1_1[[#This Row],[Order Date]])</f>
        <v>7</v>
      </c>
      <c r="J125" t="str">
        <f>TEXT(Table1_1[[#This Row],[Order Date]],"[$-en-US]mmm")</f>
        <v>Jul</v>
      </c>
    </row>
    <row r="126" spans="1:10" x14ac:dyDescent="0.3">
      <c r="A126" t="s">
        <v>139</v>
      </c>
      <c r="B126" s="2">
        <v>45645</v>
      </c>
      <c r="C126" t="s">
        <v>1274</v>
      </c>
      <c r="D126" t="s">
        <v>1290</v>
      </c>
      <c r="E126">
        <v>2</v>
      </c>
      <c r="F126" s="3">
        <v>621</v>
      </c>
      <c r="G126" s="3">
        <v>1242</v>
      </c>
      <c r="H126" t="s">
        <v>1313</v>
      </c>
      <c r="I126">
        <f>MONTH(Table1_1[[#This Row],[Order Date]])</f>
        <v>12</v>
      </c>
      <c r="J126" t="str">
        <f>TEXT(Table1_1[[#This Row],[Order Date]],"[$-en-US]mmm")</f>
        <v>Dec</v>
      </c>
    </row>
    <row r="127" spans="1:10" x14ac:dyDescent="0.3">
      <c r="A127" t="s">
        <v>140</v>
      </c>
      <c r="B127" s="2">
        <v>45642</v>
      </c>
      <c r="C127" t="s">
        <v>1273</v>
      </c>
      <c r="D127" t="s">
        <v>1289</v>
      </c>
      <c r="E127">
        <v>5</v>
      </c>
      <c r="F127" s="3">
        <v>885</v>
      </c>
      <c r="G127" s="3">
        <v>4425</v>
      </c>
      <c r="H127" t="s">
        <v>1314</v>
      </c>
      <c r="I127">
        <f>MONTH(Table1_1[[#This Row],[Order Date]])</f>
        <v>12</v>
      </c>
      <c r="J127" t="str">
        <f>TEXT(Table1_1[[#This Row],[Order Date]],"[$-en-US]mmm")</f>
        <v>Dec</v>
      </c>
    </row>
    <row r="128" spans="1:10" x14ac:dyDescent="0.3">
      <c r="A128" t="s">
        <v>141</v>
      </c>
      <c r="B128" s="2">
        <v>45511</v>
      </c>
      <c r="C128" t="s">
        <v>1276</v>
      </c>
      <c r="D128" t="s">
        <v>1290</v>
      </c>
      <c r="E128">
        <v>6</v>
      </c>
      <c r="F128" s="3">
        <v>560</v>
      </c>
      <c r="G128" s="3">
        <v>3360</v>
      </c>
      <c r="H128" t="s">
        <v>1315</v>
      </c>
      <c r="I128">
        <f>MONTH(Table1_1[[#This Row],[Order Date]])</f>
        <v>8</v>
      </c>
      <c r="J128" t="str">
        <f>TEXT(Table1_1[[#This Row],[Order Date]],"[$-en-US]mmm")</f>
        <v>Aug</v>
      </c>
    </row>
    <row r="129" spans="1:10" x14ac:dyDescent="0.3">
      <c r="A129" t="s">
        <v>142</v>
      </c>
      <c r="B129" s="2">
        <v>45466</v>
      </c>
      <c r="C129" t="s">
        <v>1273</v>
      </c>
      <c r="D129" t="s">
        <v>1289</v>
      </c>
      <c r="E129">
        <v>9</v>
      </c>
      <c r="F129" s="3">
        <v>678</v>
      </c>
      <c r="G129" s="3">
        <v>6102</v>
      </c>
      <c r="H129" t="s">
        <v>1314</v>
      </c>
      <c r="I129">
        <f>MONTH(Table1_1[[#This Row],[Order Date]])</f>
        <v>6</v>
      </c>
      <c r="J129" t="str">
        <f>TEXT(Table1_1[[#This Row],[Order Date]],"[$-en-US]mmm")</f>
        <v>Jun</v>
      </c>
    </row>
    <row r="130" spans="1:10" x14ac:dyDescent="0.3">
      <c r="A130" t="s">
        <v>143</v>
      </c>
      <c r="B130" s="2">
        <v>45513</v>
      </c>
      <c r="C130" t="s">
        <v>1275</v>
      </c>
      <c r="D130" t="s">
        <v>1289</v>
      </c>
      <c r="E130">
        <v>8</v>
      </c>
      <c r="F130" s="3">
        <v>123</v>
      </c>
      <c r="G130" s="3">
        <v>984</v>
      </c>
      <c r="H130" t="s">
        <v>1315</v>
      </c>
      <c r="I130">
        <f>MONTH(Table1_1[[#This Row],[Order Date]])</f>
        <v>8</v>
      </c>
      <c r="J130" t="str">
        <f>TEXT(Table1_1[[#This Row],[Order Date]],"[$-en-US]mmm")</f>
        <v>Aug</v>
      </c>
    </row>
    <row r="131" spans="1:10" x14ac:dyDescent="0.3">
      <c r="A131" t="s">
        <v>144</v>
      </c>
      <c r="B131" s="2">
        <v>45382</v>
      </c>
      <c r="C131" t="s">
        <v>1282</v>
      </c>
      <c r="D131" t="s">
        <v>1290</v>
      </c>
      <c r="E131">
        <v>3</v>
      </c>
      <c r="F131" s="3">
        <v>460</v>
      </c>
      <c r="G131" s="3">
        <v>1380</v>
      </c>
      <c r="H131" t="s">
        <v>1315</v>
      </c>
      <c r="I131">
        <f>MONTH(Table1_1[[#This Row],[Order Date]])</f>
        <v>3</v>
      </c>
      <c r="J131" t="str">
        <f>TEXT(Table1_1[[#This Row],[Order Date]],"[$-en-US]mmm")</f>
        <v>Mar</v>
      </c>
    </row>
    <row r="132" spans="1:10" x14ac:dyDescent="0.3">
      <c r="A132" t="s">
        <v>145</v>
      </c>
      <c r="B132" s="2">
        <v>45595</v>
      </c>
      <c r="C132" t="s">
        <v>1282</v>
      </c>
      <c r="D132" t="s">
        <v>1290</v>
      </c>
      <c r="E132">
        <v>8</v>
      </c>
      <c r="F132" s="3">
        <v>461</v>
      </c>
      <c r="G132" s="3">
        <v>3688</v>
      </c>
      <c r="H132" t="s">
        <v>1315</v>
      </c>
      <c r="I132">
        <f>MONTH(Table1_1[[#This Row],[Order Date]])</f>
        <v>10</v>
      </c>
      <c r="J132" t="str">
        <f>TEXT(Table1_1[[#This Row],[Order Date]],"[$-en-US]mmm")</f>
        <v>Oct</v>
      </c>
    </row>
    <row r="133" spans="1:10" x14ac:dyDescent="0.3">
      <c r="A133" t="s">
        <v>146</v>
      </c>
      <c r="B133" s="2">
        <v>45336</v>
      </c>
      <c r="C133" t="s">
        <v>1280</v>
      </c>
      <c r="D133" t="s">
        <v>1290</v>
      </c>
      <c r="E133">
        <v>4</v>
      </c>
      <c r="F133" s="3">
        <v>865</v>
      </c>
      <c r="G133" s="3">
        <v>3460</v>
      </c>
      <c r="H133" t="s">
        <v>1315</v>
      </c>
      <c r="I133">
        <f>MONTH(Table1_1[[#This Row],[Order Date]])</f>
        <v>2</v>
      </c>
      <c r="J133" t="str">
        <f>TEXT(Table1_1[[#This Row],[Order Date]],"[$-en-US]mmm")</f>
        <v>Feb</v>
      </c>
    </row>
    <row r="134" spans="1:10" x14ac:dyDescent="0.3">
      <c r="A134" t="s">
        <v>147</v>
      </c>
      <c r="B134" s="2">
        <v>45529</v>
      </c>
      <c r="C134" t="s">
        <v>1282</v>
      </c>
      <c r="D134" t="s">
        <v>1290</v>
      </c>
      <c r="E134">
        <v>4</v>
      </c>
      <c r="F134" s="3">
        <v>783</v>
      </c>
      <c r="G134" s="3">
        <v>3132</v>
      </c>
      <c r="H134" t="s">
        <v>1316</v>
      </c>
      <c r="I134">
        <f>MONTH(Table1_1[[#This Row],[Order Date]])</f>
        <v>8</v>
      </c>
      <c r="J134" t="str">
        <f>TEXT(Table1_1[[#This Row],[Order Date]],"[$-en-US]mmm")</f>
        <v>Aug</v>
      </c>
    </row>
    <row r="135" spans="1:10" x14ac:dyDescent="0.3">
      <c r="A135" t="s">
        <v>148</v>
      </c>
      <c r="B135" s="2">
        <v>45458</v>
      </c>
      <c r="C135" t="s">
        <v>1280</v>
      </c>
      <c r="D135" t="s">
        <v>1290</v>
      </c>
      <c r="E135">
        <v>1</v>
      </c>
      <c r="F135" s="3">
        <v>521</v>
      </c>
      <c r="G135" s="3">
        <v>521</v>
      </c>
      <c r="H135" t="s">
        <v>1313</v>
      </c>
      <c r="I135">
        <f>MONTH(Table1_1[[#This Row],[Order Date]])</f>
        <v>6</v>
      </c>
      <c r="J135" t="str">
        <f>TEXT(Table1_1[[#This Row],[Order Date]],"[$-en-US]mmm")</f>
        <v>Jun</v>
      </c>
    </row>
    <row r="136" spans="1:10" x14ac:dyDescent="0.3">
      <c r="A136" t="s">
        <v>149</v>
      </c>
      <c r="B136" s="2">
        <v>45424</v>
      </c>
      <c r="C136" t="s">
        <v>1282</v>
      </c>
      <c r="D136" t="s">
        <v>1290</v>
      </c>
      <c r="E136">
        <v>4</v>
      </c>
      <c r="F136" s="3">
        <v>378</v>
      </c>
      <c r="G136" s="3">
        <v>1512</v>
      </c>
      <c r="H136" t="s">
        <v>1315</v>
      </c>
      <c r="I136">
        <f>MONTH(Table1_1[[#This Row],[Order Date]])</f>
        <v>5</v>
      </c>
      <c r="J136" t="str">
        <f>TEXT(Table1_1[[#This Row],[Order Date]],"[$-en-US]mmm")</f>
        <v>May</v>
      </c>
    </row>
    <row r="137" spans="1:10" x14ac:dyDescent="0.3">
      <c r="A137" t="s">
        <v>150</v>
      </c>
      <c r="B137" s="2">
        <v>45433</v>
      </c>
      <c r="C137" t="s">
        <v>1277</v>
      </c>
      <c r="D137" t="s">
        <v>1289</v>
      </c>
      <c r="E137">
        <v>10</v>
      </c>
      <c r="F137" s="3">
        <v>733</v>
      </c>
      <c r="G137" s="3">
        <v>7330</v>
      </c>
      <c r="H137" t="s">
        <v>1314</v>
      </c>
      <c r="I137">
        <f>MONTH(Table1_1[[#This Row],[Order Date]])</f>
        <v>5</v>
      </c>
      <c r="J137" t="str">
        <f>TEXT(Table1_1[[#This Row],[Order Date]],"[$-en-US]mmm")</f>
        <v>May</v>
      </c>
    </row>
    <row r="138" spans="1:10" x14ac:dyDescent="0.3">
      <c r="A138" t="s">
        <v>151</v>
      </c>
      <c r="B138" s="2">
        <v>45500</v>
      </c>
      <c r="C138" t="s">
        <v>1274</v>
      </c>
      <c r="D138" t="s">
        <v>1290</v>
      </c>
      <c r="E138">
        <v>2</v>
      </c>
      <c r="F138" s="3">
        <v>262</v>
      </c>
      <c r="G138" s="3">
        <v>524</v>
      </c>
      <c r="H138" t="s">
        <v>1316</v>
      </c>
      <c r="I138">
        <f>MONTH(Table1_1[[#This Row],[Order Date]])</f>
        <v>7</v>
      </c>
      <c r="J138" t="str">
        <f>TEXT(Table1_1[[#This Row],[Order Date]],"[$-en-US]mmm")</f>
        <v>Jul</v>
      </c>
    </row>
    <row r="139" spans="1:10" x14ac:dyDescent="0.3">
      <c r="A139" t="s">
        <v>154</v>
      </c>
      <c r="B139" s="2">
        <v>45631</v>
      </c>
      <c r="C139" t="s">
        <v>1275</v>
      </c>
      <c r="D139" t="s">
        <v>1289</v>
      </c>
      <c r="E139">
        <v>4</v>
      </c>
      <c r="F139" s="3">
        <v>328</v>
      </c>
      <c r="G139" s="3">
        <v>1312</v>
      </c>
      <c r="H139" t="s">
        <v>1315</v>
      </c>
      <c r="I139">
        <f>MONTH(Table1_1[[#This Row],[Order Date]])</f>
        <v>12</v>
      </c>
      <c r="J139" t="str">
        <f>TEXT(Table1_1[[#This Row],[Order Date]],"[$-en-US]mmm")</f>
        <v>Dec</v>
      </c>
    </row>
    <row r="140" spans="1:10" x14ac:dyDescent="0.3">
      <c r="A140" t="s">
        <v>155</v>
      </c>
      <c r="B140" s="2">
        <v>45468</v>
      </c>
      <c r="C140" t="s">
        <v>1282</v>
      </c>
      <c r="D140" t="s">
        <v>1290</v>
      </c>
      <c r="E140">
        <v>9</v>
      </c>
      <c r="F140" s="3">
        <v>558</v>
      </c>
      <c r="G140" s="3">
        <v>5022</v>
      </c>
      <c r="H140" t="s">
        <v>1316</v>
      </c>
      <c r="I140">
        <f>MONTH(Table1_1[[#This Row],[Order Date]])</f>
        <v>6</v>
      </c>
      <c r="J140" t="str">
        <f>TEXT(Table1_1[[#This Row],[Order Date]],"[$-en-US]mmm")</f>
        <v>Jun</v>
      </c>
    </row>
    <row r="141" spans="1:10" x14ac:dyDescent="0.3">
      <c r="A141" t="s">
        <v>156</v>
      </c>
      <c r="B141" s="2">
        <v>45524</v>
      </c>
      <c r="C141" t="s">
        <v>1280</v>
      </c>
      <c r="D141" t="s">
        <v>1290</v>
      </c>
      <c r="E141">
        <v>6</v>
      </c>
      <c r="F141" s="3">
        <v>734</v>
      </c>
      <c r="G141" s="3">
        <v>4404</v>
      </c>
      <c r="H141" t="s">
        <v>1315</v>
      </c>
      <c r="I141">
        <f>MONTH(Table1_1[[#This Row],[Order Date]])</f>
        <v>8</v>
      </c>
      <c r="J141" t="str">
        <f>TEXT(Table1_1[[#This Row],[Order Date]],"[$-en-US]mmm")</f>
        <v>Aug</v>
      </c>
    </row>
    <row r="142" spans="1:10" x14ac:dyDescent="0.3">
      <c r="A142" t="s">
        <v>157</v>
      </c>
      <c r="B142" s="2">
        <v>45353</v>
      </c>
      <c r="C142" t="s">
        <v>1277</v>
      </c>
      <c r="D142" t="s">
        <v>1289</v>
      </c>
      <c r="E142">
        <v>5</v>
      </c>
      <c r="F142" s="3">
        <v>251</v>
      </c>
      <c r="G142" s="3">
        <v>1255</v>
      </c>
      <c r="H142" t="s">
        <v>1313</v>
      </c>
      <c r="I142">
        <f>MONTH(Table1_1[[#This Row],[Order Date]])</f>
        <v>3</v>
      </c>
      <c r="J142" t="str">
        <f>TEXT(Table1_1[[#This Row],[Order Date]],"[$-en-US]mmm")</f>
        <v>Mar</v>
      </c>
    </row>
    <row r="143" spans="1:10" x14ac:dyDescent="0.3">
      <c r="A143" t="s">
        <v>158</v>
      </c>
      <c r="B143" s="2">
        <v>45566</v>
      </c>
      <c r="C143" t="s">
        <v>1280</v>
      </c>
      <c r="D143" t="s">
        <v>1290</v>
      </c>
      <c r="E143">
        <v>2</v>
      </c>
      <c r="F143" s="3">
        <v>775</v>
      </c>
      <c r="G143" s="3">
        <v>1550</v>
      </c>
      <c r="H143" t="s">
        <v>1313</v>
      </c>
      <c r="I143">
        <f>MONTH(Table1_1[[#This Row],[Order Date]])</f>
        <v>10</v>
      </c>
      <c r="J143" t="str">
        <f>TEXT(Table1_1[[#This Row],[Order Date]],"[$-en-US]mmm")</f>
        <v>Oct</v>
      </c>
    </row>
    <row r="144" spans="1:10" x14ac:dyDescent="0.3">
      <c r="A144" t="s">
        <v>159</v>
      </c>
      <c r="B144" s="2">
        <v>45539</v>
      </c>
      <c r="C144" t="s">
        <v>1274</v>
      </c>
      <c r="D144" t="s">
        <v>1290</v>
      </c>
      <c r="E144">
        <v>4</v>
      </c>
      <c r="F144" s="3">
        <v>771</v>
      </c>
      <c r="G144" s="3">
        <v>3084</v>
      </c>
      <c r="H144" t="s">
        <v>1315</v>
      </c>
      <c r="I144">
        <f>MONTH(Table1_1[[#This Row],[Order Date]])</f>
        <v>9</v>
      </c>
      <c r="J144" t="str">
        <f>TEXT(Table1_1[[#This Row],[Order Date]],"[$-en-US]mmm")</f>
        <v>Sep</v>
      </c>
    </row>
    <row r="145" spans="1:10" x14ac:dyDescent="0.3">
      <c r="A145" t="s">
        <v>160</v>
      </c>
      <c r="B145" s="2">
        <v>45391</v>
      </c>
      <c r="C145" t="s">
        <v>1277</v>
      </c>
      <c r="D145" t="s">
        <v>1289</v>
      </c>
      <c r="E145">
        <v>2</v>
      </c>
      <c r="F145" s="3">
        <v>867</v>
      </c>
      <c r="G145" s="3">
        <v>1734</v>
      </c>
      <c r="H145" t="s">
        <v>1315</v>
      </c>
      <c r="I145">
        <f>MONTH(Table1_1[[#This Row],[Order Date]])</f>
        <v>4</v>
      </c>
      <c r="J145" t="str">
        <f>TEXT(Table1_1[[#This Row],[Order Date]],"[$-en-US]mmm")</f>
        <v>Apr</v>
      </c>
    </row>
    <row r="146" spans="1:10" x14ac:dyDescent="0.3">
      <c r="A146" t="s">
        <v>161</v>
      </c>
      <c r="B146" s="2">
        <v>45446</v>
      </c>
      <c r="C146" t="s">
        <v>1274</v>
      </c>
      <c r="D146" t="s">
        <v>1290</v>
      </c>
      <c r="E146">
        <v>6</v>
      </c>
      <c r="F146" s="3">
        <v>198</v>
      </c>
      <c r="G146" s="3">
        <v>1188</v>
      </c>
      <c r="H146" t="s">
        <v>1314</v>
      </c>
      <c r="I146">
        <f>MONTH(Table1_1[[#This Row],[Order Date]])</f>
        <v>6</v>
      </c>
      <c r="J146" t="str">
        <f>TEXT(Table1_1[[#This Row],[Order Date]],"[$-en-US]mmm")</f>
        <v>Jun</v>
      </c>
    </row>
    <row r="147" spans="1:10" x14ac:dyDescent="0.3">
      <c r="A147" t="s">
        <v>162</v>
      </c>
      <c r="B147" s="2">
        <v>45319</v>
      </c>
      <c r="C147" t="s">
        <v>1279</v>
      </c>
      <c r="D147" t="s">
        <v>1289</v>
      </c>
      <c r="E147">
        <v>5</v>
      </c>
      <c r="F147" s="3">
        <v>61</v>
      </c>
      <c r="G147" s="3">
        <v>305</v>
      </c>
      <c r="H147" t="s">
        <v>1315</v>
      </c>
      <c r="I147">
        <f>MONTH(Table1_1[[#This Row],[Order Date]])</f>
        <v>1</v>
      </c>
      <c r="J147" t="str">
        <f>TEXT(Table1_1[[#This Row],[Order Date]],"[$-en-US]mmm")</f>
        <v>Jan</v>
      </c>
    </row>
    <row r="148" spans="1:10" x14ac:dyDescent="0.3">
      <c r="A148" t="s">
        <v>163</v>
      </c>
      <c r="B148" s="2">
        <v>45298</v>
      </c>
      <c r="C148" t="s">
        <v>1279</v>
      </c>
      <c r="D148" t="s">
        <v>1289</v>
      </c>
      <c r="E148">
        <v>8</v>
      </c>
      <c r="F148" s="3">
        <v>120</v>
      </c>
      <c r="G148" s="3">
        <v>960</v>
      </c>
      <c r="H148" t="s">
        <v>1315</v>
      </c>
      <c r="I148">
        <f>MONTH(Table1_1[[#This Row],[Order Date]])</f>
        <v>1</v>
      </c>
      <c r="J148" t="str">
        <f>TEXT(Table1_1[[#This Row],[Order Date]],"[$-en-US]mmm")</f>
        <v>Jan</v>
      </c>
    </row>
    <row r="149" spans="1:10" x14ac:dyDescent="0.3">
      <c r="A149" t="s">
        <v>164</v>
      </c>
      <c r="B149" s="2">
        <v>45466</v>
      </c>
      <c r="C149" t="s">
        <v>1282</v>
      </c>
      <c r="D149" t="s">
        <v>1290</v>
      </c>
      <c r="E149">
        <v>8</v>
      </c>
      <c r="F149" s="3">
        <v>466</v>
      </c>
      <c r="G149" s="3">
        <v>3728</v>
      </c>
      <c r="H149" t="s">
        <v>1313</v>
      </c>
      <c r="I149">
        <f>MONTH(Table1_1[[#This Row],[Order Date]])</f>
        <v>6</v>
      </c>
      <c r="J149" t="str">
        <f>TEXT(Table1_1[[#This Row],[Order Date]],"[$-en-US]mmm")</f>
        <v>Jun</v>
      </c>
    </row>
    <row r="150" spans="1:10" x14ac:dyDescent="0.3">
      <c r="A150" t="s">
        <v>165</v>
      </c>
      <c r="B150" s="2">
        <v>45536</v>
      </c>
      <c r="C150" t="s">
        <v>1276</v>
      </c>
      <c r="D150" t="s">
        <v>1290</v>
      </c>
      <c r="E150">
        <v>5</v>
      </c>
      <c r="F150" s="3">
        <v>897</v>
      </c>
      <c r="G150" s="3">
        <v>4485</v>
      </c>
      <c r="H150" t="s">
        <v>1314</v>
      </c>
      <c r="I150">
        <f>MONTH(Table1_1[[#This Row],[Order Date]])</f>
        <v>9</v>
      </c>
      <c r="J150" t="str">
        <f>TEXT(Table1_1[[#This Row],[Order Date]],"[$-en-US]mmm")</f>
        <v>Sep</v>
      </c>
    </row>
    <row r="151" spans="1:10" x14ac:dyDescent="0.3">
      <c r="A151" t="s">
        <v>166</v>
      </c>
      <c r="B151" s="2">
        <v>45329</v>
      </c>
      <c r="C151" t="s">
        <v>1273</v>
      </c>
      <c r="D151" t="s">
        <v>1289</v>
      </c>
      <c r="E151">
        <v>7</v>
      </c>
      <c r="F151" s="3">
        <v>518</v>
      </c>
      <c r="G151" s="3">
        <v>3626</v>
      </c>
      <c r="H151" t="s">
        <v>1314</v>
      </c>
      <c r="I151">
        <f>MONTH(Table1_1[[#This Row],[Order Date]])</f>
        <v>2</v>
      </c>
      <c r="J151" t="str">
        <f>TEXT(Table1_1[[#This Row],[Order Date]],"[$-en-US]mmm")</f>
        <v>Feb</v>
      </c>
    </row>
    <row r="152" spans="1:10" x14ac:dyDescent="0.3">
      <c r="A152" t="s">
        <v>167</v>
      </c>
      <c r="B152" s="2">
        <v>45580</v>
      </c>
      <c r="C152" t="s">
        <v>1279</v>
      </c>
      <c r="D152" t="s">
        <v>1289</v>
      </c>
      <c r="E152">
        <v>3</v>
      </c>
      <c r="F152" s="3">
        <v>845</v>
      </c>
      <c r="G152" s="3">
        <v>2535</v>
      </c>
      <c r="H152" t="s">
        <v>1315</v>
      </c>
      <c r="I152">
        <f>MONTH(Table1_1[[#This Row],[Order Date]])</f>
        <v>10</v>
      </c>
      <c r="J152" t="str">
        <f>TEXT(Table1_1[[#This Row],[Order Date]],"[$-en-US]mmm")</f>
        <v>Oct</v>
      </c>
    </row>
    <row r="153" spans="1:10" x14ac:dyDescent="0.3">
      <c r="A153" t="s">
        <v>168</v>
      </c>
      <c r="B153" s="2">
        <v>45577</v>
      </c>
      <c r="C153" t="s">
        <v>1273</v>
      </c>
      <c r="D153" t="s">
        <v>1289</v>
      </c>
      <c r="E153">
        <v>4</v>
      </c>
      <c r="F153" s="3">
        <v>136</v>
      </c>
      <c r="G153" s="3">
        <v>544</v>
      </c>
      <c r="H153" t="s">
        <v>1316</v>
      </c>
      <c r="I153">
        <f>MONTH(Table1_1[[#This Row],[Order Date]])</f>
        <v>10</v>
      </c>
      <c r="J153" t="str">
        <f>TEXT(Table1_1[[#This Row],[Order Date]],"[$-en-US]mmm")</f>
        <v>Oct</v>
      </c>
    </row>
    <row r="154" spans="1:10" x14ac:dyDescent="0.3">
      <c r="A154" t="s">
        <v>169</v>
      </c>
      <c r="B154" s="2">
        <v>45522</v>
      </c>
      <c r="C154" t="s">
        <v>1274</v>
      </c>
      <c r="D154" t="s">
        <v>1290</v>
      </c>
      <c r="E154">
        <v>9</v>
      </c>
      <c r="F154" s="3">
        <v>404</v>
      </c>
      <c r="G154" s="3">
        <v>3636</v>
      </c>
      <c r="H154" t="s">
        <v>1316</v>
      </c>
      <c r="I154">
        <f>MONTH(Table1_1[[#This Row],[Order Date]])</f>
        <v>8</v>
      </c>
      <c r="J154" t="str">
        <f>TEXT(Table1_1[[#This Row],[Order Date]],"[$-en-US]mmm")</f>
        <v>Aug</v>
      </c>
    </row>
    <row r="155" spans="1:10" x14ac:dyDescent="0.3">
      <c r="A155" t="s">
        <v>170</v>
      </c>
      <c r="B155" s="2">
        <v>45448</v>
      </c>
      <c r="C155" t="s">
        <v>1277</v>
      </c>
      <c r="D155" t="s">
        <v>1289</v>
      </c>
      <c r="E155">
        <v>10</v>
      </c>
      <c r="F155" s="3">
        <v>454</v>
      </c>
      <c r="G155" s="3">
        <v>4540</v>
      </c>
      <c r="H155" t="s">
        <v>1314</v>
      </c>
      <c r="I155">
        <f>MONTH(Table1_1[[#This Row],[Order Date]])</f>
        <v>6</v>
      </c>
      <c r="J155" t="str">
        <f>TEXT(Table1_1[[#This Row],[Order Date]],"[$-en-US]mmm")</f>
        <v>Jun</v>
      </c>
    </row>
    <row r="156" spans="1:10" x14ac:dyDescent="0.3">
      <c r="A156" t="s">
        <v>171</v>
      </c>
      <c r="B156" s="2">
        <v>45400</v>
      </c>
      <c r="C156" t="s">
        <v>1273</v>
      </c>
      <c r="D156" t="s">
        <v>1289</v>
      </c>
      <c r="E156">
        <v>4</v>
      </c>
      <c r="F156" s="3">
        <v>655</v>
      </c>
      <c r="G156" s="3">
        <v>2620</v>
      </c>
      <c r="H156" t="s">
        <v>1315</v>
      </c>
      <c r="I156">
        <f>MONTH(Table1_1[[#This Row],[Order Date]])</f>
        <v>4</v>
      </c>
      <c r="J156" t="str">
        <f>TEXT(Table1_1[[#This Row],[Order Date]],"[$-en-US]mmm")</f>
        <v>Apr</v>
      </c>
    </row>
    <row r="157" spans="1:10" x14ac:dyDescent="0.3">
      <c r="A157" t="s">
        <v>173</v>
      </c>
      <c r="B157" s="2">
        <v>45522</v>
      </c>
      <c r="C157" t="s">
        <v>1279</v>
      </c>
      <c r="D157" t="s">
        <v>1289</v>
      </c>
      <c r="E157">
        <v>1</v>
      </c>
      <c r="F157" s="3">
        <v>433</v>
      </c>
      <c r="G157" s="3">
        <v>433</v>
      </c>
      <c r="H157" t="s">
        <v>1316</v>
      </c>
      <c r="I157">
        <f>MONTH(Table1_1[[#This Row],[Order Date]])</f>
        <v>8</v>
      </c>
      <c r="J157" t="str">
        <f>TEXT(Table1_1[[#This Row],[Order Date]],"[$-en-US]mmm")</f>
        <v>Aug</v>
      </c>
    </row>
    <row r="158" spans="1:10" x14ac:dyDescent="0.3">
      <c r="A158" t="s">
        <v>174</v>
      </c>
      <c r="B158" s="2">
        <v>45439</v>
      </c>
      <c r="C158" t="s">
        <v>1277</v>
      </c>
      <c r="D158" t="s">
        <v>1289</v>
      </c>
      <c r="E158">
        <v>1</v>
      </c>
      <c r="F158" s="3">
        <v>252</v>
      </c>
      <c r="G158" s="3">
        <v>252</v>
      </c>
      <c r="H158" t="s">
        <v>1315</v>
      </c>
      <c r="I158">
        <f>MONTH(Table1_1[[#This Row],[Order Date]])</f>
        <v>5</v>
      </c>
      <c r="J158" t="str">
        <f>TEXT(Table1_1[[#This Row],[Order Date]],"[$-en-US]mmm")</f>
        <v>May</v>
      </c>
    </row>
    <row r="159" spans="1:10" x14ac:dyDescent="0.3">
      <c r="A159" t="s">
        <v>175</v>
      </c>
      <c r="B159" s="2">
        <v>45411</v>
      </c>
      <c r="C159" t="s">
        <v>1282</v>
      </c>
      <c r="D159" t="s">
        <v>1290</v>
      </c>
      <c r="E159">
        <v>2</v>
      </c>
      <c r="F159" s="3">
        <v>718</v>
      </c>
      <c r="G159" s="3">
        <v>1436</v>
      </c>
      <c r="H159" t="s">
        <v>1315</v>
      </c>
      <c r="I159">
        <f>MONTH(Table1_1[[#This Row],[Order Date]])</f>
        <v>4</v>
      </c>
      <c r="J159" t="str">
        <f>TEXT(Table1_1[[#This Row],[Order Date]],"[$-en-US]mmm")</f>
        <v>Apr</v>
      </c>
    </row>
    <row r="160" spans="1:10" x14ac:dyDescent="0.3">
      <c r="A160" t="s">
        <v>176</v>
      </c>
      <c r="B160" s="2">
        <v>45570</v>
      </c>
      <c r="C160" t="s">
        <v>1274</v>
      </c>
      <c r="D160" t="s">
        <v>1290</v>
      </c>
      <c r="E160">
        <v>7</v>
      </c>
      <c r="F160" s="3">
        <v>132</v>
      </c>
      <c r="G160" s="3">
        <v>924</v>
      </c>
      <c r="H160" t="s">
        <v>1313</v>
      </c>
      <c r="I160">
        <f>MONTH(Table1_1[[#This Row],[Order Date]])</f>
        <v>10</v>
      </c>
      <c r="J160" t="str">
        <f>TEXT(Table1_1[[#This Row],[Order Date]],"[$-en-US]mmm")</f>
        <v>Oct</v>
      </c>
    </row>
    <row r="161" spans="1:10" x14ac:dyDescent="0.3">
      <c r="A161" t="s">
        <v>177</v>
      </c>
      <c r="B161" s="2">
        <v>45364</v>
      </c>
      <c r="C161" t="s">
        <v>1279</v>
      </c>
      <c r="D161" t="s">
        <v>1289</v>
      </c>
      <c r="E161">
        <v>5</v>
      </c>
      <c r="F161" s="3">
        <v>861</v>
      </c>
      <c r="G161" s="3">
        <v>4305</v>
      </c>
      <c r="H161" t="s">
        <v>1314</v>
      </c>
      <c r="I161">
        <f>MONTH(Table1_1[[#This Row],[Order Date]])</f>
        <v>3</v>
      </c>
      <c r="J161" t="str">
        <f>TEXT(Table1_1[[#This Row],[Order Date]],"[$-en-US]mmm")</f>
        <v>Mar</v>
      </c>
    </row>
    <row r="162" spans="1:10" x14ac:dyDescent="0.3">
      <c r="A162" t="s">
        <v>178</v>
      </c>
      <c r="B162" s="2">
        <v>45449</v>
      </c>
      <c r="C162" t="s">
        <v>1276</v>
      </c>
      <c r="D162" t="s">
        <v>1290</v>
      </c>
      <c r="E162">
        <v>3</v>
      </c>
      <c r="F162" s="3">
        <v>826</v>
      </c>
      <c r="G162" s="3">
        <v>2478</v>
      </c>
      <c r="H162" t="s">
        <v>1315</v>
      </c>
      <c r="I162">
        <f>MONTH(Table1_1[[#This Row],[Order Date]])</f>
        <v>6</v>
      </c>
      <c r="J162" t="str">
        <f>TEXT(Table1_1[[#This Row],[Order Date]],"[$-en-US]mmm")</f>
        <v>Jun</v>
      </c>
    </row>
    <row r="163" spans="1:10" x14ac:dyDescent="0.3">
      <c r="A163" t="s">
        <v>179</v>
      </c>
      <c r="B163" s="2">
        <v>45644</v>
      </c>
      <c r="C163" t="s">
        <v>1282</v>
      </c>
      <c r="D163" t="s">
        <v>1290</v>
      </c>
      <c r="E163">
        <v>2</v>
      </c>
      <c r="F163" s="3">
        <v>494</v>
      </c>
      <c r="G163" s="3">
        <v>988</v>
      </c>
      <c r="H163" t="s">
        <v>1315</v>
      </c>
      <c r="I163">
        <f>MONTH(Table1_1[[#This Row],[Order Date]])</f>
        <v>12</v>
      </c>
      <c r="J163" t="str">
        <f>TEXT(Table1_1[[#This Row],[Order Date]],"[$-en-US]mmm")</f>
        <v>Dec</v>
      </c>
    </row>
    <row r="164" spans="1:10" x14ac:dyDescent="0.3">
      <c r="A164" t="s">
        <v>180</v>
      </c>
      <c r="B164" s="2">
        <v>45568</v>
      </c>
      <c r="C164" t="s">
        <v>1275</v>
      </c>
      <c r="D164" t="s">
        <v>1289</v>
      </c>
      <c r="E164">
        <v>5</v>
      </c>
      <c r="F164" s="3">
        <v>527</v>
      </c>
      <c r="G164" s="3">
        <v>2635</v>
      </c>
      <c r="H164" t="s">
        <v>1316</v>
      </c>
      <c r="I164">
        <f>MONTH(Table1_1[[#This Row],[Order Date]])</f>
        <v>10</v>
      </c>
      <c r="J164" t="str">
        <f>TEXT(Table1_1[[#This Row],[Order Date]],"[$-en-US]mmm")</f>
        <v>Oct</v>
      </c>
    </row>
    <row r="165" spans="1:10" x14ac:dyDescent="0.3">
      <c r="A165" t="s">
        <v>181</v>
      </c>
      <c r="B165" s="2">
        <v>45312</v>
      </c>
      <c r="C165" t="s">
        <v>1282</v>
      </c>
      <c r="D165" t="s">
        <v>1290</v>
      </c>
      <c r="E165">
        <v>2</v>
      </c>
      <c r="F165" s="3">
        <v>627</v>
      </c>
      <c r="G165" s="3">
        <v>1254</v>
      </c>
      <c r="H165" t="s">
        <v>1316</v>
      </c>
      <c r="I165">
        <f>MONTH(Table1_1[[#This Row],[Order Date]])</f>
        <v>1</v>
      </c>
      <c r="J165" t="str">
        <f>TEXT(Table1_1[[#This Row],[Order Date]],"[$-en-US]mmm")</f>
        <v>Jan</v>
      </c>
    </row>
    <row r="166" spans="1:10" x14ac:dyDescent="0.3">
      <c r="A166" t="s">
        <v>182</v>
      </c>
      <c r="B166" s="2">
        <v>45305</v>
      </c>
      <c r="C166" t="s">
        <v>1280</v>
      </c>
      <c r="D166" t="s">
        <v>1290</v>
      </c>
      <c r="E166">
        <v>10</v>
      </c>
      <c r="F166" s="3">
        <v>271</v>
      </c>
      <c r="G166" s="3">
        <v>2710</v>
      </c>
      <c r="H166" t="s">
        <v>1314</v>
      </c>
      <c r="I166">
        <f>MONTH(Table1_1[[#This Row],[Order Date]])</f>
        <v>1</v>
      </c>
      <c r="J166" t="str">
        <f>TEXT(Table1_1[[#This Row],[Order Date]],"[$-en-US]mmm")</f>
        <v>Jan</v>
      </c>
    </row>
    <row r="167" spans="1:10" x14ac:dyDescent="0.3">
      <c r="A167" t="s">
        <v>183</v>
      </c>
      <c r="B167" s="2">
        <v>45302</v>
      </c>
      <c r="C167" t="s">
        <v>1274</v>
      </c>
      <c r="D167" t="s">
        <v>1290</v>
      </c>
      <c r="E167">
        <v>10</v>
      </c>
      <c r="F167" s="3">
        <v>616</v>
      </c>
      <c r="G167" s="3">
        <v>6160</v>
      </c>
      <c r="H167" t="s">
        <v>1315</v>
      </c>
      <c r="I167">
        <f>MONTH(Table1_1[[#This Row],[Order Date]])</f>
        <v>1</v>
      </c>
      <c r="J167" t="str">
        <f>TEXT(Table1_1[[#This Row],[Order Date]],"[$-en-US]mmm")</f>
        <v>Jan</v>
      </c>
    </row>
    <row r="168" spans="1:10" x14ac:dyDescent="0.3">
      <c r="A168" t="s">
        <v>184</v>
      </c>
      <c r="B168" s="2">
        <v>45557</v>
      </c>
      <c r="C168" t="s">
        <v>1276</v>
      </c>
      <c r="D168" t="s">
        <v>1290</v>
      </c>
      <c r="E168">
        <v>3</v>
      </c>
      <c r="F168" s="3">
        <v>496</v>
      </c>
      <c r="G168" s="3">
        <v>1488</v>
      </c>
      <c r="H168" t="s">
        <v>1316</v>
      </c>
      <c r="I168">
        <f>MONTH(Table1_1[[#This Row],[Order Date]])</f>
        <v>9</v>
      </c>
      <c r="J168" t="str">
        <f>TEXT(Table1_1[[#This Row],[Order Date]],"[$-en-US]mmm")</f>
        <v>Sep</v>
      </c>
    </row>
    <row r="169" spans="1:10" x14ac:dyDescent="0.3">
      <c r="A169" t="s">
        <v>185</v>
      </c>
      <c r="B169" s="2">
        <v>45515</v>
      </c>
      <c r="C169" t="s">
        <v>1277</v>
      </c>
      <c r="D169" t="s">
        <v>1289</v>
      </c>
      <c r="E169">
        <v>3</v>
      </c>
      <c r="F169" s="3">
        <v>614</v>
      </c>
      <c r="G169" s="3">
        <v>1842</v>
      </c>
      <c r="H169" t="s">
        <v>1316</v>
      </c>
      <c r="I169">
        <f>MONTH(Table1_1[[#This Row],[Order Date]])</f>
        <v>8</v>
      </c>
      <c r="J169" t="str">
        <f>TEXT(Table1_1[[#This Row],[Order Date]],"[$-en-US]mmm")</f>
        <v>Aug</v>
      </c>
    </row>
    <row r="170" spans="1:10" x14ac:dyDescent="0.3">
      <c r="A170" t="s">
        <v>186</v>
      </c>
      <c r="B170" s="2">
        <v>45501</v>
      </c>
      <c r="C170" t="s">
        <v>1273</v>
      </c>
      <c r="D170" t="s">
        <v>1289</v>
      </c>
      <c r="E170">
        <v>8</v>
      </c>
      <c r="F170" s="3">
        <v>371</v>
      </c>
      <c r="G170" s="3">
        <v>2968</v>
      </c>
      <c r="H170" t="s">
        <v>1315</v>
      </c>
      <c r="I170">
        <f>MONTH(Table1_1[[#This Row],[Order Date]])</f>
        <v>7</v>
      </c>
      <c r="J170" t="str">
        <f>TEXT(Table1_1[[#This Row],[Order Date]],"[$-en-US]mmm")</f>
        <v>Jul</v>
      </c>
    </row>
    <row r="171" spans="1:10" x14ac:dyDescent="0.3">
      <c r="A171" t="s">
        <v>187</v>
      </c>
      <c r="B171" s="2">
        <v>45374</v>
      </c>
      <c r="C171" t="s">
        <v>1280</v>
      </c>
      <c r="D171" t="s">
        <v>1290</v>
      </c>
      <c r="E171">
        <v>2</v>
      </c>
      <c r="F171" s="3">
        <v>893</v>
      </c>
      <c r="G171" s="3">
        <v>1786</v>
      </c>
      <c r="H171" t="s">
        <v>1315</v>
      </c>
      <c r="I171">
        <f>MONTH(Table1_1[[#This Row],[Order Date]])</f>
        <v>3</v>
      </c>
      <c r="J171" t="str">
        <f>TEXT(Table1_1[[#This Row],[Order Date]],"[$-en-US]mmm")</f>
        <v>Mar</v>
      </c>
    </row>
    <row r="172" spans="1:10" x14ac:dyDescent="0.3">
      <c r="A172" t="s">
        <v>188</v>
      </c>
      <c r="B172" s="2">
        <v>45631</v>
      </c>
      <c r="C172" t="s">
        <v>1275</v>
      </c>
      <c r="D172" t="s">
        <v>1289</v>
      </c>
      <c r="E172">
        <v>8</v>
      </c>
      <c r="F172" s="3">
        <v>310</v>
      </c>
      <c r="G172" s="3">
        <v>2480</v>
      </c>
      <c r="H172" t="s">
        <v>1316</v>
      </c>
      <c r="I172">
        <f>MONTH(Table1_1[[#This Row],[Order Date]])</f>
        <v>12</v>
      </c>
      <c r="J172" t="str">
        <f>TEXT(Table1_1[[#This Row],[Order Date]],"[$-en-US]mmm")</f>
        <v>Dec</v>
      </c>
    </row>
    <row r="173" spans="1:10" x14ac:dyDescent="0.3">
      <c r="A173" t="s">
        <v>189</v>
      </c>
      <c r="B173" s="2">
        <v>45453</v>
      </c>
      <c r="C173" t="s">
        <v>1276</v>
      </c>
      <c r="D173" t="s">
        <v>1290</v>
      </c>
      <c r="E173">
        <v>8</v>
      </c>
      <c r="F173" s="3">
        <v>105</v>
      </c>
      <c r="G173" s="3">
        <v>840</v>
      </c>
      <c r="H173" t="s">
        <v>1315</v>
      </c>
      <c r="I173">
        <f>MONTH(Table1_1[[#This Row],[Order Date]])</f>
        <v>6</v>
      </c>
      <c r="J173" t="str">
        <f>TEXT(Table1_1[[#This Row],[Order Date]],"[$-en-US]mmm")</f>
        <v>Jun</v>
      </c>
    </row>
    <row r="174" spans="1:10" x14ac:dyDescent="0.3">
      <c r="A174" t="s">
        <v>190</v>
      </c>
      <c r="B174" s="2">
        <v>45498</v>
      </c>
      <c r="C174" t="s">
        <v>1280</v>
      </c>
      <c r="D174" t="s">
        <v>1290</v>
      </c>
      <c r="E174">
        <v>2</v>
      </c>
      <c r="F174" s="3">
        <v>806</v>
      </c>
      <c r="G174" s="3">
        <v>1612</v>
      </c>
      <c r="H174" t="s">
        <v>1314</v>
      </c>
      <c r="I174">
        <f>MONTH(Table1_1[[#This Row],[Order Date]])</f>
        <v>7</v>
      </c>
      <c r="J174" t="str">
        <f>TEXT(Table1_1[[#This Row],[Order Date]],"[$-en-US]mmm")</f>
        <v>Jul</v>
      </c>
    </row>
    <row r="175" spans="1:10" x14ac:dyDescent="0.3">
      <c r="A175" t="s">
        <v>191</v>
      </c>
      <c r="B175" s="2">
        <v>45388</v>
      </c>
      <c r="C175" t="s">
        <v>1282</v>
      </c>
      <c r="D175" t="s">
        <v>1290</v>
      </c>
      <c r="E175">
        <v>7</v>
      </c>
      <c r="F175" s="3">
        <v>70</v>
      </c>
      <c r="G175" s="3">
        <v>490</v>
      </c>
      <c r="H175" t="s">
        <v>1315</v>
      </c>
      <c r="I175">
        <f>MONTH(Table1_1[[#This Row],[Order Date]])</f>
        <v>4</v>
      </c>
      <c r="J175" t="str">
        <f>TEXT(Table1_1[[#This Row],[Order Date]],"[$-en-US]mmm")</f>
        <v>Apr</v>
      </c>
    </row>
    <row r="176" spans="1:10" x14ac:dyDescent="0.3">
      <c r="A176" t="s">
        <v>192</v>
      </c>
      <c r="B176" s="2">
        <v>45318</v>
      </c>
      <c r="C176" t="s">
        <v>1282</v>
      </c>
      <c r="D176" t="s">
        <v>1290</v>
      </c>
      <c r="E176">
        <v>8</v>
      </c>
      <c r="F176" s="3">
        <v>793</v>
      </c>
      <c r="G176" s="3">
        <v>6344</v>
      </c>
      <c r="H176" t="s">
        <v>1313</v>
      </c>
      <c r="I176">
        <f>MONTH(Table1_1[[#This Row],[Order Date]])</f>
        <v>1</v>
      </c>
      <c r="J176" t="str">
        <f>TEXT(Table1_1[[#This Row],[Order Date]],"[$-en-US]mmm")</f>
        <v>Jan</v>
      </c>
    </row>
    <row r="177" spans="1:10" x14ac:dyDescent="0.3">
      <c r="A177" t="s">
        <v>194</v>
      </c>
      <c r="B177" s="2">
        <v>45614</v>
      </c>
      <c r="C177" t="s">
        <v>1282</v>
      </c>
      <c r="D177" t="s">
        <v>1290</v>
      </c>
      <c r="E177">
        <v>2</v>
      </c>
      <c r="F177" s="3">
        <v>44</v>
      </c>
      <c r="G177" s="3">
        <v>88</v>
      </c>
      <c r="H177" t="s">
        <v>1313</v>
      </c>
      <c r="I177">
        <f>MONTH(Table1_1[[#This Row],[Order Date]])</f>
        <v>11</v>
      </c>
      <c r="J177" t="str">
        <f>TEXT(Table1_1[[#This Row],[Order Date]],"[$-en-US]mmm")</f>
        <v>Nov</v>
      </c>
    </row>
    <row r="178" spans="1:10" x14ac:dyDescent="0.3">
      <c r="A178" t="s">
        <v>195</v>
      </c>
      <c r="B178" s="2">
        <v>45299</v>
      </c>
      <c r="C178" t="s">
        <v>1279</v>
      </c>
      <c r="D178" t="s">
        <v>1289</v>
      </c>
      <c r="E178">
        <v>5</v>
      </c>
      <c r="F178" s="3">
        <v>579</v>
      </c>
      <c r="G178" s="3">
        <v>2895</v>
      </c>
      <c r="H178" t="s">
        <v>1316</v>
      </c>
      <c r="I178">
        <f>MONTH(Table1_1[[#This Row],[Order Date]])</f>
        <v>1</v>
      </c>
      <c r="J178" t="str">
        <f>TEXT(Table1_1[[#This Row],[Order Date]],"[$-en-US]mmm")</f>
        <v>Jan</v>
      </c>
    </row>
    <row r="179" spans="1:10" x14ac:dyDescent="0.3">
      <c r="A179" t="s">
        <v>197</v>
      </c>
      <c r="B179" s="2">
        <v>45441</v>
      </c>
      <c r="C179" t="s">
        <v>1273</v>
      </c>
      <c r="D179" t="s">
        <v>1289</v>
      </c>
      <c r="E179">
        <v>3</v>
      </c>
      <c r="F179" s="3">
        <v>525</v>
      </c>
      <c r="G179" s="3">
        <v>1575</v>
      </c>
      <c r="H179" t="s">
        <v>1315</v>
      </c>
      <c r="I179">
        <f>MONTH(Table1_1[[#This Row],[Order Date]])</f>
        <v>5</v>
      </c>
      <c r="J179" t="str">
        <f>TEXT(Table1_1[[#This Row],[Order Date]],"[$-en-US]mmm")</f>
        <v>May</v>
      </c>
    </row>
    <row r="180" spans="1:10" x14ac:dyDescent="0.3">
      <c r="A180" t="s">
        <v>198</v>
      </c>
      <c r="B180" s="2">
        <v>45416</v>
      </c>
      <c r="C180" t="s">
        <v>1275</v>
      </c>
      <c r="D180" t="s">
        <v>1289</v>
      </c>
      <c r="E180">
        <v>8</v>
      </c>
      <c r="F180" s="3">
        <v>498</v>
      </c>
      <c r="G180" s="3">
        <v>3984</v>
      </c>
      <c r="H180" t="s">
        <v>1316</v>
      </c>
      <c r="I180">
        <f>MONTH(Table1_1[[#This Row],[Order Date]])</f>
        <v>5</v>
      </c>
      <c r="J180" t="str">
        <f>TEXT(Table1_1[[#This Row],[Order Date]],"[$-en-US]mmm")</f>
        <v>May</v>
      </c>
    </row>
    <row r="181" spans="1:10" x14ac:dyDescent="0.3">
      <c r="A181" t="s">
        <v>199</v>
      </c>
      <c r="B181" s="2">
        <v>45598</v>
      </c>
      <c r="C181" t="s">
        <v>1279</v>
      </c>
      <c r="D181" t="s">
        <v>1289</v>
      </c>
      <c r="E181">
        <v>7</v>
      </c>
      <c r="F181" s="3">
        <v>210</v>
      </c>
      <c r="G181" s="3">
        <v>1470</v>
      </c>
      <c r="H181" t="s">
        <v>1313</v>
      </c>
      <c r="I181">
        <f>MONTH(Table1_1[[#This Row],[Order Date]])</f>
        <v>11</v>
      </c>
      <c r="J181" t="str">
        <f>TEXT(Table1_1[[#This Row],[Order Date]],"[$-en-US]mmm")</f>
        <v>Nov</v>
      </c>
    </row>
    <row r="182" spans="1:10" x14ac:dyDescent="0.3">
      <c r="A182" t="s">
        <v>200</v>
      </c>
      <c r="B182" s="2">
        <v>45504</v>
      </c>
      <c r="C182" t="s">
        <v>1273</v>
      </c>
      <c r="D182" t="s">
        <v>1289</v>
      </c>
      <c r="E182">
        <v>5</v>
      </c>
      <c r="F182" s="3">
        <v>806</v>
      </c>
      <c r="G182" s="3">
        <v>4030</v>
      </c>
      <c r="H182" t="s">
        <v>1315</v>
      </c>
      <c r="I182">
        <f>MONTH(Table1_1[[#This Row],[Order Date]])</f>
        <v>7</v>
      </c>
      <c r="J182" t="str">
        <f>TEXT(Table1_1[[#This Row],[Order Date]],"[$-en-US]mmm")</f>
        <v>Jul</v>
      </c>
    </row>
    <row r="183" spans="1:10" x14ac:dyDescent="0.3">
      <c r="A183" t="s">
        <v>201</v>
      </c>
      <c r="B183" s="2">
        <v>45444</v>
      </c>
      <c r="C183" t="s">
        <v>1277</v>
      </c>
      <c r="D183" t="s">
        <v>1289</v>
      </c>
      <c r="E183">
        <v>1</v>
      </c>
      <c r="F183" s="3">
        <v>304</v>
      </c>
      <c r="G183" s="3">
        <v>304</v>
      </c>
      <c r="H183" t="s">
        <v>1316</v>
      </c>
      <c r="I183">
        <f>MONTH(Table1_1[[#This Row],[Order Date]])</f>
        <v>6</v>
      </c>
      <c r="J183" t="str">
        <f>TEXT(Table1_1[[#This Row],[Order Date]],"[$-en-US]mmm")</f>
        <v>Jun</v>
      </c>
    </row>
    <row r="184" spans="1:10" x14ac:dyDescent="0.3">
      <c r="A184" t="s">
        <v>202</v>
      </c>
      <c r="B184" s="2">
        <v>45539</v>
      </c>
      <c r="C184" t="s">
        <v>1279</v>
      </c>
      <c r="D184" t="s">
        <v>1289</v>
      </c>
      <c r="E184">
        <v>8</v>
      </c>
      <c r="F184" s="3">
        <v>566</v>
      </c>
      <c r="G184" s="3">
        <v>4528</v>
      </c>
      <c r="H184" t="s">
        <v>1315</v>
      </c>
      <c r="I184">
        <f>MONTH(Table1_1[[#This Row],[Order Date]])</f>
        <v>9</v>
      </c>
      <c r="J184" t="str">
        <f>TEXT(Table1_1[[#This Row],[Order Date]],"[$-en-US]mmm")</f>
        <v>Sep</v>
      </c>
    </row>
    <row r="185" spans="1:10" x14ac:dyDescent="0.3">
      <c r="A185" t="s">
        <v>203</v>
      </c>
      <c r="B185" s="2">
        <v>45570</v>
      </c>
      <c r="C185" t="s">
        <v>1280</v>
      </c>
      <c r="D185" t="s">
        <v>1290</v>
      </c>
      <c r="E185">
        <v>9</v>
      </c>
      <c r="F185" s="3">
        <v>796</v>
      </c>
      <c r="G185" s="3">
        <v>7164</v>
      </c>
      <c r="H185" t="s">
        <v>1316</v>
      </c>
      <c r="I185">
        <f>MONTH(Table1_1[[#This Row],[Order Date]])</f>
        <v>10</v>
      </c>
      <c r="J185" t="str">
        <f>TEXT(Table1_1[[#This Row],[Order Date]],"[$-en-US]mmm")</f>
        <v>Oct</v>
      </c>
    </row>
    <row r="186" spans="1:10" x14ac:dyDescent="0.3">
      <c r="A186" t="s">
        <v>204</v>
      </c>
      <c r="B186" s="2">
        <v>45649</v>
      </c>
      <c r="C186" t="s">
        <v>1282</v>
      </c>
      <c r="D186" t="s">
        <v>1290</v>
      </c>
      <c r="E186">
        <v>6</v>
      </c>
      <c r="F186" s="3">
        <v>208</v>
      </c>
      <c r="G186" s="3">
        <v>1248</v>
      </c>
      <c r="H186" t="s">
        <v>1313</v>
      </c>
      <c r="I186">
        <f>MONTH(Table1_1[[#This Row],[Order Date]])</f>
        <v>12</v>
      </c>
      <c r="J186" t="str">
        <f>TEXT(Table1_1[[#This Row],[Order Date]],"[$-en-US]mmm")</f>
        <v>Dec</v>
      </c>
    </row>
    <row r="187" spans="1:10" x14ac:dyDescent="0.3">
      <c r="A187" t="s">
        <v>205</v>
      </c>
      <c r="B187" s="2">
        <v>45502</v>
      </c>
      <c r="C187" t="s">
        <v>1275</v>
      </c>
      <c r="D187" t="s">
        <v>1289</v>
      </c>
      <c r="E187">
        <v>4</v>
      </c>
      <c r="F187" s="3">
        <v>891</v>
      </c>
      <c r="G187" s="3">
        <v>3564</v>
      </c>
      <c r="H187" t="s">
        <v>1314</v>
      </c>
      <c r="I187">
        <f>MONTH(Table1_1[[#This Row],[Order Date]])</f>
        <v>7</v>
      </c>
      <c r="J187" t="str">
        <f>TEXT(Table1_1[[#This Row],[Order Date]],"[$-en-US]mmm")</f>
        <v>Jul</v>
      </c>
    </row>
    <row r="188" spans="1:10" x14ac:dyDescent="0.3">
      <c r="A188" t="s">
        <v>207</v>
      </c>
      <c r="B188" s="2">
        <v>45356</v>
      </c>
      <c r="C188" t="s">
        <v>1279</v>
      </c>
      <c r="D188" t="s">
        <v>1289</v>
      </c>
      <c r="E188">
        <v>8</v>
      </c>
      <c r="F188" s="3">
        <v>52</v>
      </c>
      <c r="G188" s="3">
        <v>416</v>
      </c>
      <c r="H188" t="s">
        <v>1315</v>
      </c>
      <c r="I188">
        <f>MONTH(Table1_1[[#This Row],[Order Date]])</f>
        <v>3</v>
      </c>
      <c r="J188" t="str">
        <f>TEXT(Table1_1[[#This Row],[Order Date]],"[$-en-US]mmm")</f>
        <v>Mar</v>
      </c>
    </row>
    <row r="189" spans="1:10" x14ac:dyDescent="0.3">
      <c r="A189" t="s">
        <v>208</v>
      </c>
      <c r="B189" s="2">
        <v>45561</v>
      </c>
      <c r="C189" t="s">
        <v>1273</v>
      </c>
      <c r="D189" t="s">
        <v>1289</v>
      </c>
      <c r="E189">
        <v>8</v>
      </c>
      <c r="F189" s="3">
        <v>117</v>
      </c>
      <c r="G189" s="3">
        <v>936</v>
      </c>
      <c r="H189" t="s">
        <v>1316</v>
      </c>
      <c r="I189">
        <f>MONTH(Table1_1[[#This Row],[Order Date]])</f>
        <v>9</v>
      </c>
      <c r="J189" t="str">
        <f>TEXT(Table1_1[[#This Row],[Order Date]],"[$-en-US]mmm")</f>
        <v>Sep</v>
      </c>
    </row>
    <row r="190" spans="1:10" x14ac:dyDescent="0.3">
      <c r="A190" t="s">
        <v>209</v>
      </c>
      <c r="B190" s="2">
        <v>45627</v>
      </c>
      <c r="C190" t="s">
        <v>1276</v>
      </c>
      <c r="D190" t="s">
        <v>1290</v>
      </c>
      <c r="E190">
        <v>3</v>
      </c>
      <c r="F190" s="3">
        <v>434</v>
      </c>
      <c r="G190" s="3">
        <v>1302</v>
      </c>
      <c r="H190" t="s">
        <v>1313</v>
      </c>
      <c r="I190">
        <f>MONTH(Table1_1[[#This Row],[Order Date]])</f>
        <v>12</v>
      </c>
      <c r="J190" t="str">
        <f>TEXT(Table1_1[[#This Row],[Order Date]],"[$-en-US]mmm")</f>
        <v>Dec</v>
      </c>
    </row>
    <row r="191" spans="1:10" x14ac:dyDescent="0.3">
      <c r="A191" t="s">
        <v>210</v>
      </c>
      <c r="B191" s="2">
        <v>45427</v>
      </c>
      <c r="C191" t="s">
        <v>1273</v>
      </c>
      <c r="D191" t="s">
        <v>1289</v>
      </c>
      <c r="E191">
        <v>8</v>
      </c>
      <c r="F191" s="3">
        <v>815</v>
      </c>
      <c r="G191" s="3">
        <v>6520</v>
      </c>
      <c r="H191" t="s">
        <v>1315</v>
      </c>
      <c r="I191">
        <f>MONTH(Table1_1[[#This Row],[Order Date]])</f>
        <v>5</v>
      </c>
      <c r="J191" t="str">
        <f>TEXT(Table1_1[[#This Row],[Order Date]],"[$-en-US]mmm")</f>
        <v>May</v>
      </c>
    </row>
    <row r="192" spans="1:10" x14ac:dyDescent="0.3">
      <c r="A192" t="s">
        <v>211</v>
      </c>
      <c r="B192" s="2">
        <v>45460</v>
      </c>
      <c r="C192" t="s">
        <v>1275</v>
      </c>
      <c r="D192" t="s">
        <v>1289</v>
      </c>
      <c r="E192">
        <v>2</v>
      </c>
      <c r="F192" s="3">
        <v>887</v>
      </c>
      <c r="G192" s="3">
        <v>1774</v>
      </c>
      <c r="H192" t="s">
        <v>1316</v>
      </c>
      <c r="I192">
        <f>MONTH(Table1_1[[#This Row],[Order Date]])</f>
        <v>6</v>
      </c>
      <c r="J192" t="str">
        <f>TEXT(Table1_1[[#This Row],[Order Date]],"[$-en-US]mmm")</f>
        <v>Jun</v>
      </c>
    </row>
    <row r="193" spans="1:10" x14ac:dyDescent="0.3">
      <c r="A193" t="s">
        <v>212</v>
      </c>
      <c r="B193" s="2">
        <v>45310</v>
      </c>
      <c r="C193" t="s">
        <v>1280</v>
      </c>
      <c r="D193" t="s">
        <v>1290</v>
      </c>
      <c r="E193">
        <v>8</v>
      </c>
      <c r="F193" s="3">
        <v>569</v>
      </c>
      <c r="G193" s="3">
        <v>4552</v>
      </c>
      <c r="H193" t="s">
        <v>1314</v>
      </c>
      <c r="I193">
        <f>MONTH(Table1_1[[#This Row],[Order Date]])</f>
        <v>1</v>
      </c>
      <c r="J193" t="str">
        <f>TEXT(Table1_1[[#This Row],[Order Date]],"[$-en-US]mmm")</f>
        <v>Jan</v>
      </c>
    </row>
    <row r="194" spans="1:10" x14ac:dyDescent="0.3">
      <c r="A194" t="s">
        <v>213</v>
      </c>
      <c r="B194" s="2">
        <v>45338</v>
      </c>
      <c r="C194" t="s">
        <v>1274</v>
      </c>
      <c r="D194" t="s">
        <v>1290</v>
      </c>
      <c r="E194">
        <v>5</v>
      </c>
      <c r="F194" s="3">
        <v>247</v>
      </c>
      <c r="G194" s="3">
        <v>1235</v>
      </c>
      <c r="H194" t="s">
        <v>1316</v>
      </c>
      <c r="I194">
        <f>MONTH(Table1_1[[#This Row],[Order Date]])</f>
        <v>2</v>
      </c>
      <c r="J194" t="str">
        <f>TEXT(Table1_1[[#This Row],[Order Date]],"[$-en-US]mmm")</f>
        <v>Feb</v>
      </c>
    </row>
    <row r="195" spans="1:10" x14ac:dyDescent="0.3">
      <c r="A195" t="s">
        <v>214</v>
      </c>
      <c r="B195" s="2">
        <v>45377</v>
      </c>
      <c r="C195" t="s">
        <v>1273</v>
      </c>
      <c r="D195" t="s">
        <v>1289</v>
      </c>
      <c r="E195">
        <v>2</v>
      </c>
      <c r="F195" s="3">
        <v>469</v>
      </c>
      <c r="G195" s="3">
        <v>938</v>
      </c>
      <c r="H195" t="s">
        <v>1315</v>
      </c>
      <c r="I195">
        <f>MONTH(Table1_1[[#This Row],[Order Date]])</f>
        <v>3</v>
      </c>
      <c r="J195" t="str">
        <f>TEXT(Table1_1[[#This Row],[Order Date]],"[$-en-US]mmm")</f>
        <v>Mar</v>
      </c>
    </row>
    <row r="196" spans="1:10" x14ac:dyDescent="0.3">
      <c r="A196" t="s">
        <v>215</v>
      </c>
      <c r="B196" s="2">
        <v>45320</v>
      </c>
      <c r="C196" t="s">
        <v>1276</v>
      </c>
      <c r="D196" t="s">
        <v>1290</v>
      </c>
      <c r="E196">
        <v>1</v>
      </c>
      <c r="F196" s="3">
        <v>347</v>
      </c>
      <c r="G196" s="3">
        <v>347</v>
      </c>
      <c r="H196" t="s">
        <v>1315</v>
      </c>
      <c r="I196">
        <f>MONTH(Table1_1[[#This Row],[Order Date]])</f>
        <v>1</v>
      </c>
      <c r="J196" t="str">
        <f>TEXT(Table1_1[[#This Row],[Order Date]],"[$-en-US]mmm")</f>
        <v>Jan</v>
      </c>
    </row>
    <row r="197" spans="1:10" x14ac:dyDescent="0.3">
      <c r="A197" t="s">
        <v>216</v>
      </c>
      <c r="B197" s="2">
        <v>45366</v>
      </c>
      <c r="C197" t="s">
        <v>1280</v>
      </c>
      <c r="D197" t="s">
        <v>1290</v>
      </c>
      <c r="E197">
        <v>6</v>
      </c>
      <c r="F197" s="3">
        <v>456</v>
      </c>
      <c r="G197" s="3">
        <v>2736</v>
      </c>
      <c r="H197" t="s">
        <v>1313</v>
      </c>
      <c r="I197">
        <f>MONTH(Table1_1[[#This Row],[Order Date]])</f>
        <v>3</v>
      </c>
      <c r="J197" t="str">
        <f>TEXT(Table1_1[[#This Row],[Order Date]],"[$-en-US]mmm")</f>
        <v>Mar</v>
      </c>
    </row>
    <row r="198" spans="1:10" x14ac:dyDescent="0.3">
      <c r="A198" t="s">
        <v>217</v>
      </c>
      <c r="B198" s="2">
        <v>45384</v>
      </c>
      <c r="C198" t="s">
        <v>1275</v>
      </c>
      <c r="D198" t="s">
        <v>1289</v>
      </c>
      <c r="E198">
        <v>10</v>
      </c>
      <c r="F198" s="3">
        <v>713</v>
      </c>
      <c r="G198" s="3">
        <v>7130</v>
      </c>
      <c r="H198" t="s">
        <v>1313</v>
      </c>
      <c r="I198">
        <f>MONTH(Table1_1[[#This Row],[Order Date]])</f>
        <v>4</v>
      </c>
      <c r="J198" t="str">
        <f>TEXT(Table1_1[[#This Row],[Order Date]],"[$-en-US]mmm")</f>
        <v>Apr</v>
      </c>
    </row>
    <row r="199" spans="1:10" x14ac:dyDescent="0.3">
      <c r="A199" t="s">
        <v>218</v>
      </c>
      <c r="B199" s="2">
        <v>45487</v>
      </c>
      <c r="C199" t="s">
        <v>1279</v>
      </c>
      <c r="D199" t="s">
        <v>1289</v>
      </c>
      <c r="E199">
        <v>2</v>
      </c>
      <c r="F199" s="3">
        <v>639</v>
      </c>
      <c r="G199" s="3">
        <v>1278</v>
      </c>
      <c r="H199" t="s">
        <v>1313</v>
      </c>
      <c r="I199">
        <f>MONTH(Table1_1[[#This Row],[Order Date]])</f>
        <v>7</v>
      </c>
      <c r="J199" t="str">
        <f>TEXT(Table1_1[[#This Row],[Order Date]],"[$-en-US]mmm")</f>
        <v>Jul</v>
      </c>
    </row>
    <row r="200" spans="1:10" x14ac:dyDescent="0.3">
      <c r="A200" t="s">
        <v>219</v>
      </c>
      <c r="B200" s="2">
        <v>45410</v>
      </c>
      <c r="C200" t="s">
        <v>1282</v>
      </c>
      <c r="D200" t="s">
        <v>1290</v>
      </c>
      <c r="E200">
        <v>10</v>
      </c>
      <c r="F200" s="3">
        <v>161</v>
      </c>
      <c r="G200" s="3">
        <v>1610</v>
      </c>
      <c r="H200" t="s">
        <v>1316</v>
      </c>
      <c r="I200">
        <f>MONTH(Table1_1[[#This Row],[Order Date]])</f>
        <v>4</v>
      </c>
      <c r="J200" t="str">
        <f>TEXT(Table1_1[[#This Row],[Order Date]],"[$-en-US]mmm")</f>
        <v>Apr</v>
      </c>
    </row>
    <row r="201" spans="1:10" x14ac:dyDescent="0.3">
      <c r="A201" t="s">
        <v>220</v>
      </c>
      <c r="B201" s="2">
        <v>45633</v>
      </c>
      <c r="C201" t="s">
        <v>1277</v>
      </c>
      <c r="D201" t="s">
        <v>1289</v>
      </c>
      <c r="E201">
        <v>8</v>
      </c>
      <c r="F201" s="3">
        <v>276</v>
      </c>
      <c r="G201" s="3">
        <v>2208</v>
      </c>
      <c r="H201" t="s">
        <v>1314</v>
      </c>
      <c r="I201">
        <f>MONTH(Table1_1[[#This Row],[Order Date]])</f>
        <v>12</v>
      </c>
      <c r="J201" t="str">
        <f>TEXT(Table1_1[[#This Row],[Order Date]],"[$-en-US]mmm")</f>
        <v>Dec</v>
      </c>
    </row>
    <row r="202" spans="1:10" x14ac:dyDescent="0.3">
      <c r="A202" t="s">
        <v>221</v>
      </c>
      <c r="B202" s="2">
        <v>45571</v>
      </c>
      <c r="C202" t="s">
        <v>1282</v>
      </c>
      <c r="D202" t="s">
        <v>1290</v>
      </c>
      <c r="E202">
        <v>5</v>
      </c>
      <c r="F202" s="3">
        <v>708</v>
      </c>
      <c r="G202" s="3">
        <v>3540</v>
      </c>
      <c r="H202" t="s">
        <v>1313</v>
      </c>
      <c r="I202">
        <f>MONTH(Table1_1[[#This Row],[Order Date]])</f>
        <v>10</v>
      </c>
      <c r="J202" t="str">
        <f>TEXT(Table1_1[[#This Row],[Order Date]],"[$-en-US]mmm")</f>
        <v>Oct</v>
      </c>
    </row>
    <row r="203" spans="1:10" x14ac:dyDescent="0.3">
      <c r="A203" t="s">
        <v>222</v>
      </c>
      <c r="B203" s="2">
        <v>45592</v>
      </c>
      <c r="C203" t="s">
        <v>1273</v>
      </c>
      <c r="D203" t="s">
        <v>1289</v>
      </c>
      <c r="E203">
        <v>8</v>
      </c>
      <c r="F203" s="3">
        <v>368</v>
      </c>
      <c r="G203" s="3">
        <v>2944</v>
      </c>
      <c r="H203" t="s">
        <v>1315</v>
      </c>
      <c r="I203">
        <f>MONTH(Table1_1[[#This Row],[Order Date]])</f>
        <v>10</v>
      </c>
      <c r="J203" t="str">
        <f>TEXT(Table1_1[[#This Row],[Order Date]],"[$-en-US]mmm")</f>
        <v>Oct</v>
      </c>
    </row>
    <row r="204" spans="1:10" x14ac:dyDescent="0.3">
      <c r="A204" t="s">
        <v>225</v>
      </c>
      <c r="B204" s="2">
        <v>45650</v>
      </c>
      <c r="C204" t="s">
        <v>1280</v>
      </c>
      <c r="D204" t="s">
        <v>1290</v>
      </c>
      <c r="E204">
        <v>10</v>
      </c>
      <c r="F204" s="3">
        <v>317</v>
      </c>
      <c r="G204" s="3">
        <v>3170</v>
      </c>
      <c r="H204" t="s">
        <v>1315</v>
      </c>
      <c r="I204">
        <f>MONTH(Table1_1[[#This Row],[Order Date]])</f>
        <v>12</v>
      </c>
      <c r="J204" t="str">
        <f>TEXT(Table1_1[[#This Row],[Order Date]],"[$-en-US]mmm")</f>
        <v>Dec</v>
      </c>
    </row>
    <row r="205" spans="1:10" x14ac:dyDescent="0.3">
      <c r="A205" t="s">
        <v>226</v>
      </c>
      <c r="B205" s="2">
        <v>45296</v>
      </c>
      <c r="C205" t="s">
        <v>1276</v>
      </c>
      <c r="D205" t="s">
        <v>1290</v>
      </c>
      <c r="E205">
        <v>7</v>
      </c>
      <c r="F205" s="3">
        <v>296</v>
      </c>
      <c r="G205" s="3">
        <v>2072</v>
      </c>
      <c r="H205" t="s">
        <v>1314</v>
      </c>
      <c r="I205">
        <f>MONTH(Table1_1[[#This Row],[Order Date]])</f>
        <v>1</v>
      </c>
      <c r="J205" t="str">
        <f>TEXT(Table1_1[[#This Row],[Order Date]],"[$-en-US]mmm")</f>
        <v>Jan</v>
      </c>
    </row>
    <row r="206" spans="1:10" x14ac:dyDescent="0.3">
      <c r="A206" t="s">
        <v>227</v>
      </c>
      <c r="B206" s="2">
        <v>45409</v>
      </c>
      <c r="C206" t="s">
        <v>1282</v>
      </c>
      <c r="D206" t="s">
        <v>1290</v>
      </c>
      <c r="E206">
        <v>5</v>
      </c>
      <c r="F206" s="3">
        <v>809</v>
      </c>
      <c r="G206" s="3">
        <v>4045</v>
      </c>
      <c r="H206" t="s">
        <v>1315</v>
      </c>
      <c r="I206">
        <f>MONTH(Table1_1[[#This Row],[Order Date]])</f>
        <v>4</v>
      </c>
      <c r="J206" t="str">
        <f>TEXT(Table1_1[[#This Row],[Order Date]],"[$-en-US]mmm")</f>
        <v>Apr</v>
      </c>
    </row>
    <row r="207" spans="1:10" x14ac:dyDescent="0.3">
      <c r="A207" t="s">
        <v>228</v>
      </c>
      <c r="B207" s="2">
        <v>45420</v>
      </c>
      <c r="C207" t="s">
        <v>1274</v>
      </c>
      <c r="D207" t="s">
        <v>1290</v>
      </c>
      <c r="E207">
        <v>4</v>
      </c>
      <c r="F207" s="3">
        <v>650</v>
      </c>
      <c r="G207" s="3">
        <v>2600</v>
      </c>
      <c r="H207" t="s">
        <v>1313</v>
      </c>
      <c r="I207">
        <f>MONTH(Table1_1[[#This Row],[Order Date]])</f>
        <v>5</v>
      </c>
      <c r="J207" t="str">
        <f>TEXT(Table1_1[[#This Row],[Order Date]],"[$-en-US]mmm")</f>
        <v>May</v>
      </c>
    </row>
    <row r="208" spans="1:10" x14ac:dyDescent="0.3">
      <c r="A208" t="s">
        <v>229</v>
      </c>
      <c r="B208" s="2">
        <v>45517</v>
      </c>
      <c r="C208" t="s">
        <v>1273</v>
      </c>
      <c r="D208" t="s">
        <v>1289</v>
      </c>
      <c r="E208">
        <v>1</v>
      </c>
      <c r="F208" s="3">
        <v>331</v>
      </c>
      <c r="G208" s="3">
        <v>331</v>
      </c>
      <c r="H208" t="s">
        <v>1314</v>
      </c>
      <c r="I208">
        <f>MONTH(Table1_1[[#This Row],[Order Date]])</f>
        <v>8</v>
      </c>
      <c r="J208" t="str">
        <f>TEXT(Table1_1[[#This Row],[Order Date]],"[$-en-US]mmm")</f>
        <v>Aug</v>
      </c>
    </row>
    <row r="209" spans="1:10" x14ac:dyDescent="0.3">
      <c r="A209" t="s">
        <v>230</v>
      </c>
      <c r="B209" s="2">
        <v>45443</v>
      </c>
      <c r="C209" t="s">
        <v>1280</v>
      </c>
      <c r="D209" t="s">
        <v>1290</v>
      </c>
      <c r="E209">
        <v>3</v>
      </c>
      <c r="F209" s="3">
        <v>107</v>
      </c>
      <c r="G209" s="3">
        <v>321</v>
      </c>
      <c r="H209" t="s">
        <v>1315</v>
      </c>
      <c r="I209">
        <f>MONTH(Table1_1[[#This Row],[Order Date]])</f>
        <v>5</v>
      </c>
      <c r="J209" t="str">
        <f>TEXT(Table1_1[[#This Row],[Order Date]],"[$-en-US]mmm")</f>
        <v>May</v>
      </c>
    </row>
    <row r="210" spans="1:10" x14ac:dyDescent="0.3">
      <c r="A210" t="s">
        <v>231</v>
      </c>
      <c r="B210" s="2">
        <v>45359</v>
      </c>
      <c r="C210" t="s">
        <v>1275</v>
      </c>
      <c r="D210" t="s">
        <v>1289</v>
      </c>
      <c r="E210">
        <v>3</v>
      </c>
      <c r="F210" s="3">
        <v>220</v>
      </c>
      <c r="G210" s="3">
        <v>660</v>
      </c>
      <c r="H210" t="s">
        <v>1315</v>
      </c>
      <c r="I210">
        <f>MONTH(Table1_1[[#This Row],[Order Date]])</f>
        <v>3</v>
      </c>
      <c r="J210" t="str">
        <f>TEXT(Table1_1[[#This Row],[Order Date]],"[$-en-US]mmm")</f>
        <v>Mar</v>
      </c>
    </row>
    <row r="211" spans="1:10" x14ac:dyDescent="0.3">
      <c r="A211" t="s">
        <v>232</v>
      </c>
      <c r="B211" s="2">
        <v>45538</v>
      </c>
      <c r="C211" t="s">
        <v>1277</v>
      </c>
      <c r="D211" t="s">
        <v>1289</v>
      </c>
      <c r="E211">
        <v>3</v>
      </c>
      <c r="F211" s="3">
        <v>278</v>
      </c>
      <c r="G211" s="3">
        <v>834</v>
      </c>
      <c r="H211" t="s">
        <v>1315</v>
      </c>
      <c r="I211">
        <f>MONTH(Table1_1[[#This Row],[Order Date]])</f>
        <v>9</v>
      </c>
      <c r="J211" t="str">
        <f>TEXT(Table1_1[[#This Row],[Order Date]],"[$-en-US]mmm")</f>
        <v>Sep</v>
      </c>
    </row>
    <row r="212" spans="1:10" x14ac:dyDescent="0.3">
      <c r="A212" t="s">
        <v>233</v>
      </c>
      <c r="B212" s="2">
        <v>45330</v>
      </c>
      <c r="C212" t="s">
        <v>1280</v>
      </c>
      <c r="D212" t="s">
        <v>1290</v>
      </c>
      <c r="E212">
        <v>2</v>
      </c>
      <c r="F212" s="3">
        <v>494</v>
      </c>
      <c r="G212" s="3">
        <v>988</v>
      </c>
      <c r="H212" t="s">
        <v>1313</v>
      </c>
      <c r="I212">
        <f>MONTH(Table1_1[[#This Row],[Order Date]])</f>
        <v>2</v>
      </c>
      <c r="J212" t="str">
        <f>TEXT(Table1_1[[#This Row],[Order Date]],"[$-en-US]mmm")</f>
        <v>Feb</v>
      </c>
    </row>
    <row r="213" spans="1:10" x14ac:dyDescent="0.3">
      <c r="A213" t="s">
        <v>235</v>
      </c>
      <c r="B213" s="2">
        <v>45427</v>
      </c>
      <c r="C213" t="s">
        <v>1273</v>
      </c>
      <c r="D213" t="s">
        <v>1289</v>
      </c>
      <c r="E213">
        <v>7</v>
      </c>
      <c r="F213" s="3">
        <v>29</v>
      </c>
      <c r="G213" s="3">
        <v>203</v>
      </c>
      <c r="H213" t="s">
        <v>1314</v>
      </c>
      <c r="I213">
        <f>MONTH(Table1_1[[#This Row],[Order Date]])</f>
        <v>5</v>
      </c>
      <c r="J213" t="str">
        <f>TEXT(Table1_1[[#This Row],[Order Date]],"[$-en-US]mmm")</f>
        <v>May</v>
      </c>
    </row>
    <row r="214" spans="1:10" x14ac:dyDescent="0.3">
      <c r="A214" t="s">
        <v>236</v>
      </c>
      <c r="B214" s="2">
        <v>45636</v>
      </c>
      <c r="C214" t="s">
        <v>1282</v>
      </c>
      <c r="D214" t="s">
        <v>1290</v>
      </c>
      <c r="E214">
        <v>6</v>
      </c>
      <c r="F214" s="3">
        <v>703</v>
      </c>
      <c r="G214" s="3">
        <v>4218</v>
      </c>
      <c r="H214" t="s">
        <v>1315</v>
      </c>
      <c r="I214">
        <f>MONTH(Table1_1[[#This Row],[Order Date]])</f>
        <v>12</v>
      </c>
      <c r="J214" t="str">
        <f>TEXT(Table1_1[[#This Row],[Order Date]],"[$-en-US]mmm")</f>
        <v>Dec</v>
      </c>
    </row>
    <row r="215" spans="1:10" x14ac:dyDescent="0.3">
      <c r="A215" t="s">
        <v>237</v>
      </c>
      <c r="B215" s="2">
        <v>45637</v>
      </c>
      <c r="C215" t="s">
        <v>1275</v>
      </c>
      <c r="D215" t="s">
        <v>1289</v>
      </c>
      <c r="E215">
        <v>6</v>
      </c>
      <c r="F215" s="3">
        <v>125</v>
      </c>
      <c r="G215" s="3">
        <v>750</v>
      </c>
      <c r="H215" t="s">
        <v>1313</v>
      </c>
      <c r="I215">
        <f>MONTH(Table1_1[[#This Row],[Order Date]])</f>
        <v>12</v>
      </c>
      <c r="J215" t="str">
        <f>TEXT(Table1_1[[#This Row],[Order Date]],"[$-en-US]mmm")</f>
        <v>Dec</v>
      </c>
    </row>
    <row r="216" spans="1:10" x14ac:dyDescent="0.3">
      <c r="A216" t="s">
        <v>238</v>
      </c>
      <c r="B216" s="2">
        <v>45579</v>
      </c>
      <c r="C216" t="s">
        <v>1282</v>
      </c>
      <c r="D216" t="s">
        <v>1290</v>
      </c>
      <c r="E216">
        <v>1</v>
      </c>
      <c r="F216" s="3">
        <v>649</v>
      </c>
      <c r="G216" s="3">
        <v>649</v>
      </c>
      <c r="H216" t="s">
        <v>1315</v>
      </c>
      <c r="I216">
        <f>MONTH(Table1_1[[#This Row],[Order Date]])</f>
        <v>10</v>
      </c>
      <c r="J216" t="str">
        <f>TEXT(Table1_1[[#This Row],[Order Date]],"[$-en-US]mmm")</f>
        <v>Oct</v>
      </c>
    </row>
    <row r="217" spans="1:10" x14ac:dyDescent="0.3">
      <c r="A217" t="s">
        <v>239</v>
      </c>
      <c r="B217" s="2">
        <v>45529</v>
      </c>
      <c r="C217" t="s">
        <v>1274</v>
      </c>
      <c r="D217" t="s">
        <v>1290</v>
      </c>
      <c r="E217">
        <v>2</v>
      </c>
      <c r="F217" s="3">
        <v>665</v>
      </c>
      <c r="G217" s="3">
        <v>1330</v>
      </c>
      <c r="H217" t="s">
        <v>1315</v>
      </c>
      <c r="I217">
        <f>MONTH(Table1_1[[#This Row],[Order Date]])</f>
        <v>8</v>
      </c>
      <c r="J217" t="str">
        <f>TEXT(Table1_1[[#This Row],[Order Date]],"[$-en-US]mmm")</f>
        <v>Aug</v>
      </c>
    </row>
    <row r="218" spans="1:10" x14ac:dyDescent="0.3">
      <c r="A218" t="s">
        <v>240</v>
      </c>
      <c r="B218" s="2">
        <v>45315</v>
      </c>
      <c r="C218" t="s">
        <v>1275</v>
      </c>
      <c r="D218" t="s">
        <v>1289</v>
      </c>
      <c r="E218">
        <v>2</v>
      </c>
      <c r="F218" s="3">
        <v>158</v>
      </c>
      <c r="G218" s="3">
        <v>316</v>
      </c>
      <c r="H218" t="s">
        <v>1314</v>
      </c>
      <c r="I218">
        <f>MONTH(Table1_1[[#This Row],[Order Date]])</f>
        <v>1</v>
      </c>
      <c r="J218" t="str">
        <f>TEXT(Table1_1[[#This Row],[Order Date]],"[$-en-US]mmm")</f>
        <v>Jan</v>
      </c>
    </row>
    <row r="219" spans="1:10" x14ac:dyDescent="0.3">
      <c r="A219" t="s">
        <v>241</v>
      </c>
      <c r="B219" s="2">
        <v>45341</v>
      </c>
      <c r="C219" t="s">
        <v>1277</v>
      </c>
      <c r="D219" t="s">
        <v>1289</v>
      </c>
      <c r="E219">
        <v>8</v>
      </c>
      <c r="F219" s="3">
        <v>133</v>
      </c>
      <c r="G219" s="3">
        <v>1064</v>
      </c>
      <c r="H219" t="s">
        <v>1313</v>
      </c>
      <c r="I219">
        <f>MONTH(Table1_1[[#This Row],[Order Date]])</f>
        <v>2</v>
      </c>
      <c r="J219" t="str">
        <f>TEXT(Table1_1[[#This Row],[Order Date]],"[$-en-US]mmm")</f>
        <v>Feb</v>
      </c>
    </row>
    <row r="220" spans="1:10" x14ac:dyDescent="0.3">
      <c r="A220" t="s">
        <v>242</v>
      </c>
      <c r="B220" s="2">
        <v>45481</v>
      </c>
      <c r="C220" t="s">
        <v>1279</v>
      </c>
      <c r="D220" t="s">
        <v>1289</v>
      </c>
      <c r="E220">
        <v>7</v>
      </c>
      <c r="F220" s="3">
        <v>479</v>
      </c>
      <c r="G220" s="3">
        <v>3353</v>
      </c>
      <c r="H220" t="s">
        <v>1316</v>
      </c>
      <c r="I220">
        <f>MONTH(Table1_1[[#This Row],[Order Date]])</f>
        <v>7</v>
      </c>
      <c r="J220" t="str">
        <f>TEXT(Table1_1[[#This Row],[Order Date]],"[$-en-US]mmm")</f>
        <v>Jul</v>
      </c>
    </row>
    <row r="221" spans="1:10" x14ac:dyDescent="0.3">
      <c r="A221" t="s">
        <v>243</v>
      </c>
      <c r="B221" s="2">
        <v>45342</v>
      </c>
      <c r="C221" t="s">
        <v>1279</v>
      </c>
      <c r="D221" t="s">
        <v>1289</v>
      </c>
      <c r="E221">
        <v>7</v>
      </c>
      <c r="F221" s="3">
        <v>685</v>
      </c>
      <c r="G221" s="3">
        <v>4795</v>
      </c>
      <c r="H221" t="s">
        <v>1316</v>
      </c>
      <c r="I221">
        <f>MONTH(Table1_1[[#This Row],[Order Date]])</f>
        <v>2</v>
      </c>
      <c r="J221" t="str">
        <f>TEXT(Table1_1[[#This Row],[Order Date]],"[$-en-US]mmm")</f>
        <v>Feb</v>
      </c>
    </row>
    <row r="222" spans="1:10" x14ac:dyDescent="0.3">
      <c r="A222" t="s">
        <v>244</v>
      </c>
      <c r="B222" s="2">
        <v>45645</v>
      </c>
      <c r="C222" t="s">
        <v>1275</v>
      </c>
      <c r="D222" t="s">
        <v>1289</v>
      </c>
      <c r="E222">
        <v>5</v>
      </c>
      <c r="F222" s="3">
        <v>48</v>
      </c>
      <c r="G222" s="3">
        <v>240</v>
      </c>
      <c r="H222" t="s">
        <v>1315</v>
      </c>
      <c r="I222">
        <f>MONTH(Table1_1[[#This Row],[Order Date]])</f>
        <v>12</v>
      </c>
      <c r="J222" t="str">
        <f>TEXT(Table1_1[[#This Row],[Order Date]],"[$-en-US]mmm")</f>
        <v>Dec</v>
      </c>
    </row>
    <row r="223" spans="1:10" x14ac:dyDescent="0.3">
      <c r="A223" t="s">
        <v>245</v>
      </c>
      <c r="B223" s="2">
        <v>45412</v>
      </c>
      <c r="C223" t="s">
        <v>1274</v>
      </c>
      <c r="D223" t="s">
        <v>1290</v>
      </c>
      <c r="E223">
        <v>8</v>
      </c>
      <c r="F223" s="3">
        <v>470</v>
      </c>
      <c r="G223" s="3">
        <v>3760</v>
      </c>
      <c r="H223" t="s">
        <v>1315</v>
      </c>
      <c r="I223">
        <f>MONTH(Table1_1[[#This Row],[Order Date]])</f>
        <v>4</v>
      </c>
      <c r="J223" t="str">
        <f>TEXT(Table1_1[[#This Row],[Order Date]],"[$-en-US]mmm")</f>
        <v>Apr</v>
      </c>
    </row>
    <row r="224" spans="1:10" x14ac:dyDescent="0.3">
      <c r="A224" t="s">
        <v>246</v>
      </c>
      <c r="B224" s="2">
        <v>45622</v>
      </c>
      <c r="C224" t="s">
        <v>1273</v>
      </c>
      <c r="D224" t="s">
        <v>1289</v>
      </c>
      <c r="E224">
        <v>6</v>
      </c>
      <c r="F224" s="3">
        <v>572</v>
      </c>
      <c r="G224" s="3">
        <v>3432</v>
      </c>
      <c r="H224" t="s">
        <v>1315</v>
      </c>
      <c r="I224">
        <f>MONTH(Table1_1[[#This Row],[Order Date]])</f>
        <v>11</v>
      </c>
      <c r="J224" t="str">
        <f>TEXT(Table1_1[[#This Row],[Order Date]],"[$-en-US]mmm")</f>
        <v>Nov</v>
      </c>
    </row>
    <row r="225" spans="1:10" x14ac:dyDescent="0.3">
      <c r="A225" t="s">
        <v>247</v>
      </c>
      <c r="B225" s="2">
        <v>45389</v>
      </c>
      <c r="C225" t="s">
        <v>1276</v>
      </c>
      <c r="D225" t="s">
        <v>1290</v>
      </c>
      <c r="E225">
        <v>7</v>
      </c>
      <c r="F225" s="3">
        <v>297</v>
      </c>
      <c r="G225" s="3">
        <v>2079</v>
      </c>
      <c r="H225" t="s">
        <v>1314</v>
      </c>
      <c r="I225">
        <f>MONTH(Table1_1[[#This Row],[Order Date]])</f>
        <v>4</v>
      </c>
      <c r="J225" t="str">
        <f>TEXT(Table1_1[[#This Row],[Order Date]],"[$-en-US]mmm")</f>
        <v>Apr</v>
      </c>
    </row>
    <row r="226" spans="1:10" x14ac:dyDescent="0.3">
      <c r="A226" t="s">
        <v>248</v>
      </c>
      <c r="B226" s="2">
        <v>45400</v>
      </c>
      <c r="C226" t="s">
        <v>1282</v>
      </c>
      <c r="D226" t="s">
        <v>1290</v>
      </c>
      <c r="E226">
        <v>2</v>
      </c>
      <c r="F226" s="3">
        <v>693</v>
      </c>
      <c r="G226" s="3">
        <v>1386</v>
      </c>
      <c r="H226" t="s">
        <v>1314</v>
      </c>
      <c r="I226">
        <f>MONTH(Table1_1[[#This Row],[Order Date]])</f>
        <v>4</v>
      </c>
      <c r="J226" t="str">
        <f>TEXT(Table1_1[[#This Row],[Order Date]],"[$-en-US]mmm")</f>
        <v>Apr</v>
      </c>
    </row>
    <row r="227" spans="1:10" x14ac:dyDescent="0.3">
      <c r="A227" t="s">
        <v>249</v>
      </c>
      <c r="B227" s="2">
        <v>45356</v>
      </c>
      <c r="C227" t="s">
        <v>1276</v>
      </c>
      <c r="D227" t="s">
        <v>1290</v>
      </c>
      <c r="E227">
        <v>6</v>
      </c>
      <c r="F227" s="3">
        <v>264</v>
      </c>
      <c r="G227" s="3">
        <v>1584</v>
      </c>
      <c r="H227" t="s">
        <v>1313</v>
      </c>
      <c r="I227">
        <f>MONTH(Table1_1[[#This Row],[Order Date]])</f>
        <v>3</v>
      </c>
      <c r="J227" t="str">
        <f>TEXT(Table1_1[[#This Row],[Order Date]],"[$-en-US]mmm")</f>
        <v>Mar</v>
      </c>
    </row>
    <row r="228" spans="1:10" x14ac:dyDescent="0.3">
      <c r="A228" t="s">
        <v>250</v>
      </c>
      <c r="B228" s="2">
        <v>45592</v>
      </c>
      <c r="C228" t="s">
        <v>1273</v>
      </c>
      <c r="D228" t="s">
        <v>1289</v>
      </c>
      <c r="E228">
        <v>9</v>
      </c>
      <c r="F228" s="3">
        <v>227</v>
      </c>
      <c r="G228" s="3">
        <v>2043</v>
      </c>
      <c r="H228" t="s">
        <v>1313</v>
      </c>
      <c r="I228">
        <f>MONTH(Table1_1[[#This Row],[Order Date]])</f>
        <v>10</v>
      </c>
      <c r="J228" t="str">
        <f>TEXT(Table1_1[[#This Row],[Order Date]],"[$-en-US]mmm")</f>
        <v>Oct</v>
      </c>
    </row>
    <row r="229" spans="1:10" x14ac:dyDescent="0.3">
      <c r="A229" t="s">
        <v>251</v>
      </c>
      <c r="B229" s="2">
        <v>45367</v>
      </c>
      <c r="C229" t="s">
        <v>1274</v>
      </c>
      <c r="D229" t="s">
        <v>1290</v>
      </c>
      <c r="E229">
        <v>6</v>
      </c>
      <c r="F229" s="3">
        <v>807</v>
      </c>
      <c r="G229" s="3">
        <v>4842</v>
      </c>
      <c r="H229" t="s">
        <v>1314</v>
      </c>
      <c r="I229">
        <f>MONTH(Table1_1[[#This Row],[Order Date]])</f>
        <v>3</v>
      </c>
      <c r="J229" t="str">
        <f>TEXT(Table1_1[[#This Row],[Order Date]],"[$-en-US]mmm")</f>
        <v>Mar</v>
      </c>
    </row>
    <row r="230" spans="1:10" x14ac:dyDescent="0.3">
      <c r="A230" t="s">
        <v>252</v>
      </c>
      <c r="B230" s="2">
        <v>45568</v>
      </c>
      <c r="C230" t="s">
        <v>1277</v>
      </c>
      <c r="D230" t="s">
        <v>1289</v>
      </c>
      <c r="E230">
        <v>3</v>
      </c>
      <c r="F230" s="3">
        <v>148</v>
      </c>
      <c r="G230" s="3">
        <v>444</v>
      </c>
      <c r="H230" t="s">
        <v>1315</v>
      </c>
      <c r="I230">
        <f>MONTH(Table1_1[[#This Row],[Order Date]])</f>
        <v>10</v>
      </c>
      <c r="J230" t="str">
        <f>TEXT(Table1_1[[#This Row],[Order Date]],"[$-en-US]mmm")</f>
        <v>Oct</v>
      </c>
    </row>
    <row r="231" spans="1:10" x14ac:dyDescent="0.3">
      <c r="A231" t="s">
        <v>253</v>
      </c>
      <c r="B231" s="2">
        <v>45305</v>
      </c>
      <c r="C231" t="s">
        <v>1279</v>
      </c>
      <c r="D231" t="s">
        <v>1289</v>
      </c>
      <c r="E231">
        <v>2</v>
      </c>
      <c r="F231" s="3">
        <v>691</v>
      </c>
      <c r="G231" s="3">
        <v>1382</v>
      </c>
      <c r="H231" t="s">
        <v>1313</v>
      </c>
      <c r="I231">
        <f>MONTH(Table1_1[[#This Row],[Order Date]])</f>
        <v>1</v>
      </c>
      <c r="J231" t="str">
        <f>TEXT(Table1_1[[#This Row],[Order Date]],"[$-en-US]mmm")</f>
        <v>Jan</v>
      </c>
    </row>
    <row r="232" spans="1:10" x14ac:dyDescent="0.3">
      <c r="A232" t="s">
        <v>254</v>
      </c>
      <c r="B232" s="2">
        <v>45413</v>
      </c>
      <c r="C232" t="s">
        <v>1276</v>
      </c>
      <c r="D232" t="s">
        <v>1290</v>
      </c>
      <c r="E232">
        <v>6</v>
      </c>
      <c r="F232" s="3">
        <v>823</v>
      </c>
      <c r="G232" s="3">
        <v>4938</v>
      </c>
      <c r="H232" t="s">
        <v>1315</v>
      </c>
      <c r="I232">
        <f>MONTH(Table1_1[[#This Row],[Order Date]])</f>
        <v>5</v>
      </c>
      <c r="J232" t="str">
        <f>TEXT(Table1_1[[#This Row],[Order Date]],"[$-en-US]mmm")</f>
        <v>May</v>
      </c>
    </row>
    <row r="233" spans="1:10" x14ac:dyDescent="0.3">
      <c r="A233" t="s">
        <v>255</v>
      </c>
      <c r="B233" s="2">
        <v>45318</v>
      </c>
      <c r="C233" t="s">
        <v>1276</v>
      </c>
      <c r="D233" t="s">
        <v>1290</v>
      </c>
      <c r="E233">
        <v>3</v>
      </c>
      <c r="F233" s="3">
        <v>286</v>
      </c>
      <c r="G233" s="3">
        <v>858</v>
      </c>
      <c r="H233" t="s">
        <v>1313</v>
      </c>
      <c r="I233">
        <f>MONTH(Table1_1[[#This Row],[Order Date]])</f>
        <v>1</v>
      </c>
      <c r="J233" t="str">
        <f>TEXT(Table1_1[[#This Row],[Order Date]],"[$-en-US]mmm")</f>
        <v>Jan</v>
      </c>
    </row>
    <row r="234" spans="1:10" x14ac:dyDescent="0.3">
      <c r="A234" t="s">
        <v>256</v>
      </c>
      <c r="B234" s="2">
        <v>45324</v>
      </c>
      <c r="C234" t="s">
        <v>1275</v>
      </c>
      <c r="D234" t="s">
        <v>1289</v>
      </c>
      <c r="E234">
        <v>9</v>
      </c>
      <c r="F234" s="3">
        <v>131</v>
      </c>
      <c r="G234" s="3">
        <v>1179</v>
      </c>
      <c r="H234" t="s">
        <v>1316</v>
      </c>
      <c r="I234">
        <f>MONTH(Table1_1[[#This Row],[Order Date]])</f>
        <v>2</v>
      </c>
      <c r="J234" t="str">
        <f>TEXT(Table1_1[[#This Row],[Order Date]],"[$-en-US]mmm")</f>
        <v>Feb</v>
      </c>
    </row>
    <row r="235" spans="1:10" x14ac:dyDescent="0.3">
      <c r="A235" t="s">
        <v>257</v>
      </c>
      <c r="B235" s="2">
        <v>45595</v>
      </c>
      <c r="C235" t="s">
        <v>1282</v>
      </c>
      <c r="D235" t="s">
        <v>1290</v>
      </c>
      <c r="E235">
        <v>6</v>
      </c>
      <c r="F235" s="3">
        <v>540</v>
      </c>
      <c r="G235" s="3">
        <v>3240</v>
      </c>
      <c r="H235" t="s">
        <v>1314</v>
      </c>
      <c r="I235">
        <f>MONTH(Table1_1[[#This Row],[Order Date]])</f>
        <v>10</v>
      </c>
      <c r="J235" t="str">
        <f>TEXT(Table1_1[[#This Row],[Order Date]],"[$-en-US]mmm")</f>
        <v>Oct</v>
      </c>
    </row>
    <row r="236" spans="1:10" x14ac:dyDescent="0.3">
      <c r="A236" t="s">
        <v>258</v>
      </c>
      <c r="B236" s="2">
        <v>45606</v>
      </c>
      <c r="C236" t="s">
        <v>1282</v>
      </c>
      <c r="D236" t="s">
        <v>1290</v>
      </c>
      <c r="E236">
        <v>9</v>
      </c>
      <c r="F236" s="3">
        <v>241</v>
      </c>
      <c r="G236" s="3">
        <v>2169</v>
      </c>
      <c r="H236" t="s">
        <v>1314</v>
      </c>
      <c r="I236">
        <f>MONTH(Table1_1[[#This Row],[Order Date]])</f>
        <v>11</v>
      </c>
      <c r="J236" t="str">
        <f>TEXT(Table1_1[[#This Row],[Order Date]],"[$-en-US]mmm")</f>
        <v>Nov</v>
      </c>
    </row>
    <row r="237" spans="1:10" x14ac:dyDescent="0.3">
      <c r="A237" t="s">
        <v>259</v>
      </c>
      <c r="B237" s="2">
        <v>45307</v>
      </c>
      <c r="C237" t="s">
        <v>1277</v>
      </c>
      <c r="D237" t="s">
        <v>1289</v>
      </c>
      <c r="E237">
        <v>8</v>
      </c>
      <c r="F237" s="3">
        <v>673</v>
      </c>
      <c r="G237" s="3">
        <v>5384</v>
      </c>
      <c r="H237" t="s">
        <v>1314</v>
      </c>
      <c r="I237">
        <f>MONTH(Table1_1[[#This Row],[Order Date]])</f>
        <v>1</v>
      </c>
      <c r="J237" t="str">
        <f>TEXT(Table1_1[[#This Row],[Order Date]],"[$-en-US]mmm")</f>
        <v>Jan</v>
      </c>
    </row>
    <row r="238" spans="1:10" x14ac:dyDescent="0.3">
      <c r="A238" t="s">
        <v>260</v>
      </c>
      <c r="B238" s="2">
        <v>45643</v>
      </c>
      <c r="C238" t="s">
        <v>1282</v>
      </c>
      <c r="D238" t="s">
        <v>1290</v>
      </c>
      <c r="E238">
        <v>7</v>
      </c>
      <c r="F238" s="3">
        <v>451</v>
      </c>
      <c r="G238" s="3">
        <v>3157</v>
      </c>
      <c r="H238" t="s">
        <v>1314</v>
      </c>
      <c r="I238">
        <f>MONTH(Table1_1[[#This Row],[Order Date]])</f>
        <v>12</v>
      </c>
      <c r="J238" t="str">
        <f>TEXT(Table1_1[[#This Row],[Order Date]],"[$-en-US]mmm")</f>
        <v>Dec</v>
      </c>
    </row>
    <row r="239" spans="1:10" x14ac:dyDescent="0.3">
      <c r="A239" t="s">
        <v>261</v>
      </c>
      <c r="B239" s="2">
        <v>45333</v>
      </c>
      <c r="C239" t="s">
        <v>1282</v>
      </c>
      <c r="D239" t="s">
        <v>1290</v>
      </c>
      <c r="E239">
        <v>8</v>
      </c>
      <c r="F239" s="3">
        <v>90</v>
      </c>
      <c r="G239" s="3">
        <v>720</v>
      </c>
      <c r="H239" t="s">
        <v>1315</v>
      </c>
      <c r="I239">
        <f>MONTH(Table1_1[[#This Row],[Order Date]])</f>
        <v>2</v>
      </c>
      <c r="J239" t="str">
        <f>TEXT(Table1_1[[#This Row],[Order Date]],"[$-en-US]mmm")</f>
        <v>Feb</v>
      </c>
    </row>
    <row r="240" spans="1:10" x14ac:dyDescent="0.3">
      <c r="A240" t="s">
        <v>262</v>
      </c>
      <c r="B240" s="2">
        <v>45432</v>
      </c>
      <c r="C240" t="s">
        <v>1279</v>
      </c>
      <c r="D240" t="s">
        <v>1289</v>
      </c>
      <c r="E240">
        <v>2</v>
      </c>
      <c r="F240" s="3">
        <v>144</v>
      </c>
      <c r="G240" s="3">
        <v>288</v>
      </c>
      <c r="H240" t="s">
        <v>1315</v>
      </c>
      <c r="I240">
        <f>MONTH(Table1_1[[#This Row],[Order Date]])</f>
        <v>5</v>
      </c>
      <c r="J240" t="str">
        <f>TEXT(Table1_1[[#This Row],[Order Date]],"[$-en-US]mmm")</f>
        <v>May</v>
      </c>
    </row>
    <row r="241" spans="1:10" x14ac:dyDescent="0.3">
      <c r="A241" t="s">
        <v>263</v>
      </c>
      <c r="B241" s="2">
        <v>45442</v>
      </c>
      <c r="C241" t="s">
        <v>1275</v>
      </c>
      <c r="D241" t="s">
        <v>1289</v>
      </c>
      <c r="E241">
        <v>10</v>
      </c>
      <c r="F241" s="3">
        <v>558</v>
      </c>
      <c r="G241" s="3">
        <v>5580</v>
      </c>
      <c r="H241" t="s">
        <v>1316</v>
      </c>
      <c r="I241">
        <f>MONTH(Table1_1[[#This Row],[Order Date]])</f>
        <v>5</v>
      </c>
      <c r="J241" t="str">
        <f>TEXT(Table1_1[[#This Row],[Order Date]],"[$-en-US]mmm")</f>
        <v>May</v>
      </c>
    </row>
    <row r="242" spans="1:10" x14ac:dyDescent="0.3">
      <c r="A242" t="s">
        <v>264</v>
      </c>
      <c r="B242" s="2">
        <v>45651</v>
      </c>
      <c r="C242" t="s">
        <v>1275</v>
      </c>
      <c r="D242" t="s">
        <v>1289</v>
      </c>
      <c r="E242">
        <v>2</v>
      </c>
      <c r="F242" s="3">
        <v>827</v>
      </c>
      <c r="G242" s="3">
        <v>1654</v>
      </c>
      <c r="H242" t="s">
        <v>1314</v>
      </c>
      <c r="I242">
        <f>MONTH(Table1_1[[#This Row],[Order Date]])</f>
        <v>12</v>
      </c>
      <c r="J242" t="str">
        <f>TEXT(Table1_1[[#This Row],[Order Date]],"[$-en-US]mmm")</f>
        <v>Dec</v>
      </c>
    </row>
    <row r="243" spans="1:10" x14ac:dyDescent="0.3">
      <c r="A243" t="s">
        <v>265</v>
      </c>
      <c r="B243" s="2">
        <v>45408</v>
      </c>
      <c r="C243" t="s">
        <v>1274</v>
      </c>
      <c r="D243" t="s">
        <v>1290</v>
      </c>
      <c r="E243">
        <v>7</v>
      </c>
      <c r="F243" s="3">
        <v>477</v>
      </c>
      <c r="G243" s="3">
        <v>3339</v>
      </c>
      <c r="H243" t="s">
        <v>1316</v>
      </c>
      <c r="I243">
        <f>MONTH(Table1_1[[#This Row],[Order Date]])</f>
        <v>4</v>
      </c>
      <c r="J243" t="str">
        <f>TEXT(Table1_1[[#This Row],[Order Date]],"[$-en-US]mmm")</f>
        <v>Apr</v>
      </c>
    </row>
    <row r="244" spans="1:10" x14ac:dyDescent="0.3">
      <c r="A244" t="s">
        <v>267</v>
      </c>
      <c r="B244" s="2">
        <v>45632</v>
      </c>
      <c r="C244" t="s">
        <v>1280</v>
      </c>
      <c r="D244" t="s">
        <v>1290</v>
      </c>
      <c r="E244">
        <v>7</v>
      </c>
      <c r="F244" s="3">
        <v>335</v>
      </c>
      <c r="G244" s="3">
        <v>2345</v>
      </c>
      <c r="H244" t="s">
        <v>1315</v>
      </c>
      <c r="I244">
        <f>MONTH(Table1_1[[#This Row],[Order Date]])</f>
        <v>12</v>
      </c>
      <c r="J244" t="str">
        <f>TEXT(Table1_1[[#This Row],[Order Date]],"[$-en-US]mmm")</f>
        <v>Dec</v>
      </c>
    </row>
    <row r="245" spans="1:10" x14ac:dyDescent="0.3">
      <c r="A245" t="s">
        <v>268</v>
      </c>
      <c r="B245" s="2">
        <v>45534</v>
      </c>
      <c r="C245" t="s">
        <v>1280</v>
      </c>
      <c r="D245" t="s">
        <v>1290</v>
      </c>
      <c r="E245">
        <v>3</v>
      </c>
      <c r="F245" s="3">
        <v>718</v>
      </c>
      <c r="G245" s="3">
        <v>2154</v>
      </c>
      <c r="H245" t="s">
        <v>1314</v>
      </c>
      <c r="I245">
        <f>MONTH(Table1_1[[#This Row],[Order Date]])</f>
        <v>8</v>
      </c>
      <c r="J245" t="str">
        <f>TEXT(Table1_1[[#This Row],[Order Date]],"[$-en-US]mmm")</f>
        <v>Aug</v>
      </c>
    </row>
    <row r="246" spans="1:10" x14ac:dyDescent="0.3">
      <c r="A246" t="s">
        <v>269</v>
      </c>
      <c r="B246" s="2">
        <v>45513</v>
      </c>
      <c r="C246" t="s">
        <v>1273</v>
      </c>
      <c r="D246" t="s">
        <v>1289</v>
      </c>
      <c r="E246">
        <v>2</v>
      </c>
      <c r="F246" s="3">
        <v>110</v>
      </c>
      <c r="G246" s="3">
        <v>220</v>
      </c>
      <c r="H246" t="s">
        <v>1314</v>
      </c>
      <c r="I246">
        <f>MONTH(Table1_1[[#This Row],[Order Date]])</f>
        <v>8</v>
      </c>
      <c r="J246" t="str">
        <f>TEXT(Table1_1[[#This Row],[Order Date]],"[$-en-US]mmm")</f>
        <v>Aug</v>
      </c>
    </row>
    <row r="247" spans="1:10" x14ac:dyDescent="0.3">
      <c r="A247" t="s">
        <v>270</v>
      </c>
      <c r="B247" s="2">
        <v>45322</v>
      </c>
      <c r="C247" t="s">
        <v>1280</v>
      </c>
      <c r="D247" t="s">
        <v>1290</v>
      </c>
      <c r="E247">
        <v>3</v>
      </c>
      <c r="F247" s="3">
        <v>584</v>
      </c>
      <c r="G247" s="3">
        <v>1752</v>
      </c>
      <c r="H247" t="s">
        <v>1315</v>
      </c>
      <c r="I247">
        <f>MONTH(Table1_1[[#This Row],[Order Date]])</f>
        <v>1</v>
      </c>
      <c r="J247" t="str">
        <f>TEXT(Table1_1[[#This Row],[Order Date]],"[$-en-US]mmm")</f>
        <v>Jan</v>
      </c>
    </row>
    <row r="248" spans="1:10" x14ac:dyDescent="0.3">
      <c r="A248" t="s">
        <v>271</v>
      </c>
      <c r="B248" s="2">
        <v>45632</v>
      </c>
      <c r="C248" t="s">
        <v>1273</v>
      </c>
      <c r="D248" t="s">
        <v>1289</v>
      </c>
      <c r="E248">
        <v>7</v>
      </c>
      <c r="F248" s="3">
        <v>377</v>
      </c>
      <c r="G248" s="3">
        <v>2639</v>
      </c>
      <c r="H248" t="s">
        <v>1316</v>
      </c>
      <c r="I248">
        <f>MONTH(Table1_1[[#This Row],[Order Date]])</f>
        <v>12</v>
      </c>
      <c r="J248" t="str">
        <f>TEXT(Table1_1[[#This Row],[Order Date]],"[$-en-US]mmm")</f>
        <v>Dec</v>
      </c>
    </row>
    <row r="249" spans="1:10" x14ac:dyDescent="0.3">
      <c r="A249" t="s">
        <v>272</v>
      </c>
      <c r="B249" s="2">
        <v>45451</v>
      </c>
      <c r="C249" t="s">
        <v>1276</v>
      </c>
      <c r="D249" t="s">
        <v>1290</v>
      </c>
      <c r="E249">
        <v>5</v>
      </c>
      <c r="F249" s="3">
        <v>629</v>
      </c>
      <c r="G249" s="3">
        <v>3145</v>
      </c>
      <c r="H249" t="s">
        <v>1315</v>
      </c>
      <c r="I249">
        <f>MONTH(Table1_1[[#This Row],[Order Date]])</f>
        <v>6</v>
      </c>
      <c r="J249" t="str">
        <f>TEXT(Table1_1[[#This Row],[Order Date]],"[$-en-US]mmm")</f>
        <v>Jun</v>
      </c>
    </row>
    <row r="250" spans="1:10" x14ac:dyDescent="0.3">
      <c r="A250" t="s">
        <v>273</v>
      </c>
      <c r="B250" s="2">
        <v>45400</v>
      </c>
      <c r="C250" t="s">
        <v>1273</v>
      </c>
      <c r="D250" t="s">
        <v>1289</v>
      </c>
      <c r="E250">
        <v>10</v>
      </c>
      <c r="F250" s="3">
        <v>534</v>
      </c>
      <c r="G250" s="3">
        <v>5340</v>
      </c>
      <c r="H250" t="s">
        <v>1313</v>
      </c>
      <c r="I250">
        <f>MONTH(Table1_1[[#This Row],[Order Date]])</f>
        <v>4</v>
      </c>
      <c r="J250" t="str">
        <f>TEXT(Table1_1[[#This Row],[Order Date]],"[$-en-US]mmm")</f>
        <v>Apr</v>
      </c>
    </row>
    <row r="251" spans="1:10" x14ac:dyDescent="0.3">
      <c r="A251" t="s">
        <v>274</v>
      </c>
      <c r="B251" s="2">
        <v>45347</v>
      </c>
      <c r="C251" t="s">
        <v>1282</v>
      </c>
      <c r="D251" t="s">
        <v>1290</v>
      </c>
      <c r="E251">
        <v>4</v>
      </c>
      <c r="F251" s="3">
        <v>882</v>
      </c>
      <c r="G251" s="3">
        <v>3528</v>
      </c>
      <c r="H251" t="s">
        <v>1315</v>
      </c>
      <c r="I251">
        <f>MONTH(Table1_1[[#This Row],[Order Date]])</f>
        <v>2</v>
      </c>
      <c r="J251" t="str">
        <f>TEXT(Table1_1[[#This Row],[Order Date]],"[$-en-US]mmm")</f>
        <v>Feb</v>
      </c>
    </row>
    <row r="252" spans="1:10" x14ac:dyDescent="0.3">
      <c r="A252" t="s">
        <v>275</v>
      </c>
      <c r="B252" s="2">
        <v>45434</v>
      </c>
      <c r="C252" t="s">
        <v>1280</v>
      </c>
      <c r="D252" t="s">
        <v>1290</v>
      </c>
      <c r="E252">
        <v>2</v>
      </c>
      <c r="F252" s="3">
        <v>795</v>
      </c>
      <c r="G252" s="3">
        <v>1590</v>
      </c>
      <c r="H252" t="s">
        <v>1313</v>
      </c>
      <c r="I252">
        <f>MONTH(Table1_1[[#This Row],[Order Date]])</f>
        <v>5</v>
      </c>
      <c r="J252" t="str">
        <f>TEXT(Table1_1[[#This Row],[Order Date]],"[$-en-US]mmm")</f>
        <v>May</v>
      </c>
    </row>
    <row r="253" spans="1:10" x14ac:dyDescent="0.3">
      <c r="A253" t="s">
        <v>276</v>
      </c>
      <c r="B253" s="2">
        <v>45610</v>
      </c>
      <c r="C253" t="s">
        <v>1275</v>
      </c>
      <c r="D253" t="s">
        <v>1289</v>
      </c>
      <c r="E253">
        <v>9</v>
      </c>
      <c r="F253" s="3">
        <v>800</v>
      </c>
      <c r="G253" s="3">
        <v>7200</v>
      </c>
      <c r="H253" t="s">
        <v>1314</v>
      </c>
      <c r="I253">
        <f>MONTH(Table1_1[[#This Row],[Order Date]])</f>
        <v>11</v>
      </c>
      <c r="J253" t="str">
        <f>TEXT(Table1_1[[#This Row],[Order Date]],"[$-en-US]mmm")</f>
        <v>Nov</v>
      </c>
    </row>
    <row r="254" spans="1:10" x14ac:dyDescent="0.3">
      <c r="A254" t="s">
        <v>277</v>
      </c>
      <c r="B254" s="2">
        <v>45431</v>
      </c>
      <c r="C254" t="s">
        <v>1277</v>
      </c>
      <c r="D254" t="s">
        <v>1289</v>
      </c>
      <c r="E254">
        <v>1</v>
      </c>
      <c r="F254" s="3">
        <v>199</v>
      </c>
      <c r="G254" s="3">
        <v>199</v>
      </c>
      <c r="H254" t="s">
        <v>1315</v>
      </c>
      <c r="I254">
        <f>MONTH(Table1_1[[#This Row],[Order Date]])</f>
        <v>5</v>
      </c>
      <c r="J254" t="str">
        <f>TEXT(Table1_1[[#This Row],[Order Date]],"[$-en-US]mmm")</f>
        <v>May</v>
      </c>
    </row>
    <row r="255" spans="1:10" x14ac:dyDescent="0.3">
      <c r="A255" t="s">
        <v>278</v>
      </c>
      <c r="B255" s="2">
        <v>45384</v>
      </c>
      <c r="C255" t="s">
        <v>1280</v>
      </c>
      <c r="D255" t="s">
        <v>1290</v>
      </c>
      <c r="E255">
        <v>6</v>
      </c>
      <c r="F255" s="3">
        <v>21</v>
      </c>
      <c r="G255" s="3">
        <v>126</v>
      </c>
      <c r="H255" t="s">
        <v>1313</v>
      </c>
      <c r="I255">
        <f>MONTH(Table1_1[[#This Row],[Order Date]])</f>
        <v>4</v>
      </c>
      <c r="J255" t="str">
        <f>TEXT(Table1_1[[#This Row],[Order Date]],"[$-en-US]mmm")</f>
        <v>Apr</v>
      </c>
    </row>
    <row r="256" spans="1:10" x14ac:dyDescent="0.3">
      <c r="A256" t="s">
        <v>279</v>
      </c>
      <c r="B256" s="2">
        <v>45616</v>
      </c>
      <c r="C256" t="s">
        <v>1275</v>
      </c>
      <c r="D256" t="s">
        <v>1289</v>
      </c>
      <c r="E256">
        <v>2</v>
      </c>
      <c r="F256" s="3">
        <v>160</v>
      </c>
      <c r="G256" s="3">
        <v>320</v>
      </c>
      <c r="H256" t="s">
        <v>1314</v>
      </c>
      <c r="I256">
        <f>MONTH(Table1_1[[#This Row],[Order Date]])</f>
        <v>11</v>
      </c>
      <c r="J256" t="str">
        <f>TEXT(Table1_1[[#This Row],[Order Date]],"[$-en-US]mmm")</f>
        <v>Nov</v>
      </c>
    </row>
    <row r="257" spans="1:10" x14ac:dyDescent="0.3">
      <c r="A257" t="s">
        <v>280</v>
      </c>
      <c r="B257" s="2">
        <v>45484</v>
      </c>
      <c r="C257" t="s">
        <v>1273</v>
      </c>
      <c r="D257" t="s">
        <v>1289</v>
      </c>
      <c r="E257">
        <v>9</v>
      </c>
      <c r="F257" s="3">
        <v>235</v>
      </c>
      <c r="G257" s="3">
        <v>2115</v>
      </c>
      <c r="H257" t="s">
        <v>1316</v>
      </c>
      <c r="I257">
        <f>MONTH(Table1_1[[#This Row],[Order Date]])</f>
        <v>7</v>
      </c>
      <c r="J257" t="str">
        <f>TEXT(Table1_1[[#This Row],[Order Date]],"[$-en-US]mmm")</f>
        <v>Jul</v>
      </c>
    </row>
    <row r="258" spans="1:10" x14ac:dyDescent="0.3">
      <c r="A258" t="s">
        <v>281</v>
      </c>
      <c r="B258" s="2">
        <v>45481</v>
      </c>
      <c r="C258" t="s">
        <v>1282</v>
      </c>
      <c r="D258" t="s">
        <v>1290</v>
      </c>
      <c r="E258">
        <v>6</v>
      </c>
      <c r="F258" s="3">
        <v>176</v>
      </c>
      <c r="G258" s="3">
        <v>1056</v>
      </c>
      <c r="H258" t="s">
        <v>1315</v>
      </c>
      <c r="I258">
        <f>MONTH(Table1_1[[#This Row],[Order Date]])</f>
        <v>7</v>
      </c>
      <c r="J258" t="str">
        <f>TEXT(Table1_1[[#This Row],[Order Date]],"[$-en-US]mmm")</f>
        <v>Jul</v>
      </c>
    </row>
    <row r="259" spans="1:10" x14ac:dyDescent="0.3">
      <c r="A259" t="s">
        <v>282</v>
      </c>
      <c r="B259" s="2">
        <v>45335</v>
      </c>
      <c r="C259" t="s">
        <v>1280</v>
      </c>
      <c r="D259" t="s">
        <v>1290</v>
      </c>
      <c r="E259">
        <v>10</v>
      </c>
      <c r="F259" s="3">
        <v>625</v>
      </c>
      <c r="G259" s="3">
        <v>6250</v>
      </c>
      <c r="H259" t="s">
        <v>1314</v>
      </c>
      <c r="I259">
        <f>MONTH(Table1_1[[#This Row],[Order Date]])</f>
        <v>2</v>
      </c>
      <c r="J259" t="str">
        <f>TEXT(Table1_1[[#This Row],[Order Date]],"[$-en-US]mmm")</f>
        <v>Feb</v>
      </c>
    </row>
    <row r="260" spans="1:10" x14ac:dyDescent="0.3">
      <c r="A260" t="s">
        <v>283</v>
      </c>
      <c r="B260" s="2">
        <v>45608</v>
      </c>
      <c r="C260" t="s">
        <v>1279</v>
      </c>
      <c r="D260" t="s">
        <v>1289</v>
      </c>
      <c r="E260">
        <v>3</v>
      </c>
      <c r="F260" s="3">
        <v>787</v>
      </c>
      <c r="G260" s="3">
        <v>2361</v>
      </c>
      <c r="H260" t="s">
        <v>1314</v>
      </c>
      <c r="I260">
        <f>MONTH(Table1_1[[#This Row],[Order Date]])</f>
        <v>11</v>
      </c>
      <c r="J260" t="str">
        <f>TEXT(Table1_1[[#This Row],[Order Date]],"[$-en-US]mmm")</f>
        <v>Nov</v>
      </c>
    </row>
    <row r="261" spans="1:10" x14ac:dyDescent="0.3">
      <c r="A261" t="s">
        <v>284</v>
      </c>
      <c r="B261" s="2">
        <v>45630</v>
      </c>
      <c r="C261" t="s">
        <v>1273</v>
      </c>
      <c r="D261" t="s">
        <v>1289</v>
      </c>
      <c r="E261">
        <v>5</v>
      </c>
      <c r="F261" s="3">
        <v>468</v>
      </c>
      <c r="G261" s="3">
        <v>2340</v>
      </c>
      <c r="H261" t="s">
        <v>1316</v>
      </c>
      <c r="I261">
        <f>MONTH(Table1_1[[#This Row],[Order Date]])</f>
        <v>12</v>
      </c>
      <c r="J261" t="str">
        <f>TEXT(Table1_1[[#This Row],[Order Date]],"[$-en-US]mmm")</f>
        <v>Dec</v>
      </c>
    </row>
    <row r="262" spans="1:10" x14ac:dyDescent="0.3">
      <c r="A262" t="s">
        <v>285</v>
      </c>
      <c r="B262" s="2">
        <v>45504</v>
      </c>
      <c r="C262" t="s">
        <v>1282</v>
      </c>
      <c r="D262" t="s">
        <v>1290</v>
      </c>
      <c r="E262">
        <v>10</v>
      </c>
      <c r="F262" s="3">
        <v>467</v>
      </c>
      <c r="G262" s="3">
        <v>4670</v>
      </c>
      <c r="H262" t="s">
        <v>1315</v>
      </c>
      <c r="I262">
        <f>MONTH(Table1_1[[#This Row],[Order Date]])</f>
        <v>7</v>
      </c>
      <c r="J262" t="str">
        <f>TEXT(Table1_1[[#This Row],[Order Date]],"[$-en-US]mmm")</f>
        <v>Jul</v>
      </c>
    </row>
    <row r="263" spans="1:10" x14ac:dyDescent="0.3">
      <c r="A263" t="s">
        <v>286</v>
      </c>
      <c r="B263" s="2">
        <v>45468</v>
      </c>
      <c r="C263" t="s">
        <v>1274</v>
      </c>
      <c r="D263" t="s">
        <v>1290</v>
      </c>
      <c r="E263">
        <v>9</v>
      </c>
      <c r="F263" s="3">
        <v>131</v>
      </c>
      <c r="G263" s="3">
        <v>1179</v>
      </c>
      <c r="H263" t="s">
        <v>1316</v>
      </c>
      <c r="I263">
        <f>MONTH(Table1_1[[#This Row],[Order Date]])</f>
        <v>6</v>
      </c>
      <c r="J263" t="str">
        <f>TEXT(Table1_1[[#This Row],[Order Date]],"[$-en-US]mmm")</f>
        <v>Jun</v>
      </c>
    </row>
    <row r="264" spans="1:10" x14ac:dyDescent="0.3">
      <c r="A264" t="s">
        <v>287</v>
      </c>
      <c r="B264" s="2">
        <v>45639</v>
      </c>
      <c r="C264" t="s">
        <v>1273</v>
      </c>
      <c r="D264" t="s">
        <v>1289</v>
      </c>
      <c r="E264">
        <v>5</v>
      </c>
      <c r="F264" s="3">
        <v>709</v>
      </c>
      <c r="G264" s="3">
        <v>3545</v>
      </c>
      <c r="H264" t="s">
        <v>1316</v>
      </c>
      <c r="I264">
        <f>MONTH(Table1_1[[#This Row],[Order Date]])</f>
        <v>12</v>
      </c>
      <c r="J264" t="str">
        <f>TEXT(Table1_1[[#This Row],[Order Date]],"[$-en-US]mmm")</f>
        <v>Dec</v>
      </c>
    </row>
    <row r="265" spans="1:10" x14ac:dyDescent="0.3">
      <c r="A265" t="s">
        <v>288</v>
      </c>
      <c r="B265" s="2">
        <v>45494</v>
      </c>
      <c r="C265" t="s">
        <v>1277</v>
      </c>
      <c r="D265" t="s">
        <v>1289</v>
      </c>
      <c r="E265">
        <v>1</v>
      </c>
      <c r="F265" s="3">
        <v>240</v>
      </c>
      <c r="G265" s="3">
        <v>240</v>
      </c>
      <c r="H265" t="s">
        <v>1314</v>
      </c>
      <c r="I265">
        <f>MONTH(Table1_1[[#This Row],[Order Date]])</f>
        <v>7</v>
      </c>
      <c r="J265" t="str">
        <f>TEXT(Table1_1[[#This Row],[Order Date]],"[$-en-US]mmm")</f>
        <v>Jul</v>
      </c>
    </row>
    <row r="266" spans="1:10" x14ac:dyDescent="0.3">
      <c r="A266" t="s">
        <v>289</v>
      </c>
      <c r="B266" s="2">
        <v>45400</v>
      </c>
      <c r="C266" t="s">
        <v>1276</v>
      </c>
      <c r="D266" t="s">
        <v>1290</v>
      </c>
      <c r="E266">
        <v>4</v>
      </c>
      <c r="F266" s="3">
        <v>323</v>
      </c>
      <c r="G266" s="3">
        <v>1292</v>
      </c>
      <c r="H266" t="s">
        <v>1313</v>
      </c>
      <c r="I266">
        <f>MONTH(Table1_1[[#This Row],[Order Date]])</f>
        <v>4</v>
      </c>
      <c r="J266" t="str">
        <f>TEXT(Table1_1[[#This Row],[Order Date]],"[$-en-US]mmm")</f>
        <v>Apr</v>
      </c>
    </row>
    <row r="267" spans="1:10" x14ac:dyDescent="0.3">
      <c r="A267" t="s">
        <v>290</v>
      </c>
      <c r="B267" s="2">
        <v>45353</v>
      </c>
      <c r="C267" t="s">
        <v>1277</v>
      </c>
      <c r="D267" t="s">
        <v>1289</v>
      </c>
      <c r="E267">
        <v>5</v>
      </c>
      <c r="F267" s="3">
        <v>350</v>
      </c>
      <c r="G267" s="3">
        <v>1750</v>
      </c>
      <c r="H267" t="s">
        <v>1314</v>
      </c>
      <c r="I267">
        <f>MONTH(Table1_1[[#This Row],[Order Date]])</f>
        <v>3</v>
      </c>
      <c r="J267" t="str">
        <f>TEXT(Table1_1[[#This Row],[Order Date]],"[$-en-US]mmm")</f>
        <v>Mar</v>
      </c>
    </row>
    <row r="268" spans="1:10" x14ac:dyDescent="0.3">
      <c r="A268" t="s">
        <v>291</v>
      </c>
      <c r="B268" s="2">
        <v>45358</v>
      </c>
      <c r="C268" t="s">
        <v>1282</v>
      </c>
      <c r="D268" t="s">
        <v>1290</v>
      </c>
      <c r="E268">
        <v>7</v>
      </c>
      <c r="F268" s="3">
        <v>194</v>
      </c>
      <c r="G268" s="3">
        <v>1358</v>
      </c>
      <c r="H268" t="s">
        <v>1316</v>
      </c>
      <c r="I268">
        <f>MONTH(Table1_1[[#This Row],[Order Date]])</f>
        <v>3</v>
      </c>
      <c r="J268" t="str">
        <f>TEXT(Table1_1[[#This Row],[Order Date]],"[$-en-US]mmm")</f>
        <v>Mar</v>
      </c>
    </row>
    <row r="269" spans="1:10" x14ac:dyDescent="0.3">
      <c r="A269" t="s">
        <v>292</v>
      </c>
      <c r="B269" s="2">
        <v>45634</v>
      </c>
      <c r="C269" t="s">
        <v>1274</v>
      </c>
      <c r="D269" t="s">
        <v>1290</v>
      </c>
      <c r="E269">
        <v>9</v>
      </c>
      <c r="F269" s="3">
        <v>587</v>
      </c>
      <c r="G269" s="3">
        <v>5283</v>
      </c>
      <c r="H269" t="s">
        <v>1315</v>
      </c>
      <c r="I269">
        <f>MONTH(Table1_1[[#This Row],[Order Date]])</f>
        <v>12</v>
      </c>
      <c r="J269" t="str">
        <f>TEXT(Table1_1[[#This Row],[Order Date]],"[$-en-US]mmm")</f>
        <v>Dec</v>
      </c>
    </row>
    <row r="270" spans="1:10" x14ac:dyDescent="0.3">
      <c r="A270" t="s">
        <v>293</v>
      </c>
      <c r="B270" s="2">
        <v>45313</v>
      </c>
      <c r="C270" t="s">
        <v>1273</v>
      </c>
      <c r="D270" t="s">
        <v>1289</v>
      </c>
      <c r="E270">
        <v>7</v>
      </c>
      <c r="F270" s="3">
        <v>897</v>
      </c>
      <c r="G270" s="3">
        <v>6279</v>
      </c>
      <c r="H270" t="s">
        <v>1316</v>
      </c>
      <c r="I270">
        <f>MONTH(Table1_1[[#This Row],[Order Date]])</f>
        <v>1</v>
      </c>
      <c r="J270" t="str">
        <f>TEXT(Table1_1[[#This Row],[Order Date]],"[$-en-US]mmm")</f>
        <v>Jan</v>
      </c>
    </row>
    <row r="271" spans="1:10" x14ac:dyDescent="0.3">
      <c r="A271" t="s">
        <v>294</v>
      </c>
      <c r="B271" s="2">
        <v>45452</v>
      </c>
      <c r="C271" t="s">
        <v>1276</v>
      </c>
      <c r="D271" t="s">
        <v>1290</v>
      </c>
      <c r="E271">
        <v>8</v>
      </c>
      <c r="F271" s="3">
        <v>94</v>
      </c>
      <c r="G271" s="3">
        <v>752</v>
      </c>
      <c r="H271" t="s">
        <v>1316</v>
      </c>
      <c r="I271">
        <f>MONTH(Table1_1[[#This Row],[Order Date]])</f>
        <v>6</v>
      </c>
      <c r="J271" t="str">
        <f>TEXT(Table1_1[[#This Row],[Order Date]],"[$-en-US]mmm")</f>
        <v>Jun</v>
      </c>
    </row>
    <row r="272" spans="1:10" x14ac:dyDescent="0.3">
      <c r="A272" t="s">
        <v>295</v>
      </c>
      <c r="B272" s="2">
        <v>45350</v>
      </c>
      <c r="C272" t="s">
        <v>1275</v>
      </c>
      <c r="D272" t="s">
        <v>1289</v>
      </c>
      <c r="E272">
        <v>7</v>
      </c>
      <c r="F272" s="3">
        <v>311</v>
      </c>
      <c r="G272" s="3">
        <v>2177</v>
      </c>
      <c r="H272" t="s">
        <v>1316</v>
      </c>
      <c r="I272">
        <f>MONTH(Table1_1[[#This Row],[Order Date]])</f>
        <v>2</v>
      </c>
      <c r="J272" t="str">
        <f>TEXT(Table1_1[[#This Row],[Order Date]],"[$-en-US]mmm")</f>
        <v>Feb</v>
      </c>
    </row>
    <row r="273" spans="1:10" x14ac:dyDescent="0.3">
      <c r="A273" t="s">
        <v>296</v>
      </c>
      <c r="B273" s="2">
        <v>45608</v>
      </c>
      <c r="C273" t="s">
        <v>1276</v>
      </c>
      <c r="D273" t="s">
        <v>1290</v>
      </c>
      <c r="E273">
        <v>6</v>
      </c>
      <c r="F273" s="3">
        <v>190</v>
      </c>
      <c r="G273" s="3">
        <v>1140</v>
      </c>
      <c r="H273" t="s">
        <v>1316</v>
      </c>
      <c r="I273">
        <f>MONTH(Table1_1[[#This Row],[Order Date]])</f>
        <v>11</v>
      </c>
      <c r="J273" t="str">
        <f>TEXT(Table1_1[[#This Row],[Order Date]],"[$-en-US]mmm")</f>
        <v>Nov</v>
      </c>
    </row>
    <row r="274" spans="1:10" x14ac:dyDescent="0.3">
      <c r="A274" t="s">
        <v>297</v>
      </c>
      <c r="B274" s="2">
        <v>45346</v>
      </c>
      <c r="C274" t="s">
        <v>1280</v>
      </c>
      <c r="D274" t="s">
        <v>1290</v>
      </c>
      <c r="E274">
        <v>2</v>
      </c>
      <c r="F274" s="3">
        <v>462</v>
      </c>
      <c r="G274" s="3">
        <v>924</v>
      </c>
      <c r="H274" t="s">
        <v>1313</v>
      </c>
      <c r="I274">
        <f>MONTH(Table1_1[[#This Row],[Order Date]])</f>
        <v>2</v>
      </c>
      <c r="J274" t="str">
        <f>TEXT(Table1_1[[#This Row],[Order Date]],"[$-en-US]mmm")</f>
        <v>Feb</v>
      </c>
    </row>
    <row r="275" spans="1:10" x14ac:dyDescent="0.3">
      <c r="A275" t="s">
        <v>298</v>
      </c>
      <c r="B275" s="2">
        <v>45560</v>
      </c>
      <c r="C275" t="s">
        <v>1275</v>
      </c>
      <c r="D275" t="s">
        <v>1289</v>
      </c>
      <c r="E275">
        <v>10</v>
      </c>
      <c r="F275" s="3">
        <v>425</v>
      </c>
      <c r="G275" s="3">
        <v>4250</v>
      </c>
      <c r="H275" t="s">
        <v>1314</v>
      </c>
      <c r="I275">
        <f>MONTH(Table1_1[[#This Row],[Order Date]])</f>
        <v>9</v>
      </c>
      <c r="J275" t="str">
        <f>TEXT(Table1_1[[#This Row],[Order Date]],"[$-en-US]mmm")</f>
        <v>Sep</v>
      </c>
    </row>
    <row r="276" spans="1:10" x14ac:dyDescent="0.3">
      <c r="A276" t="s">
        <v>299</v>
      </c>
      <c r="B276" s="2">
        <v>45465</v>
      </c>
      <c r="C276" t="s">
        <v>1275</v>
      </c>
      <c r="D276" t="s">
        <v>1289</v>
      </c>
      <c r="E276">
        <v>5</v>
      </c>
      <c r="F276" s="3">
        <v>778</v>
      </c>
      <c r="G276" s="3">
        <v>3890</v>
      </c>
      <c r="H276" t="s">
        <v>1313</v>
      </c>
      <c r="I276">
        <f>MONTH(Table1_1[[#This Row],[Order Date]])</f>
        <v>6</v>
      </c>
      <c r="J276" t="str">
        <f>TEXT(Table1_1[[#This Row],[Order Date]],"[$-en-US]mmm")</f>
        <v>Jun</v>
      </c>
    </row>
    <row r="277" spans="1:10" x14ac:dyDescent="0.3">
      <c r="A277" t="s">
        <v>300</v>
      </c>
      <c r="B277" s="2">
        <v>45553</v>
      </c>
      <c r="C277" t="s">
        <v>1280</v>
      </c>
      <c r="D277" t="s">
        <v>1290</v>
      </c>
      <c r="E277">
        <v>3</v>
      </c>
      <c r="F277" s="3">
        <v>93</v>
      </c>
      <c r="G277" s="3">
        <v>279</v>
      </c>
      <c r="H277" t="s">
        <v>1314</v>
      </c>
      <c r="I277">
        <f>MONTH(Table1_1[[#This Row],[Order Date]])</f>
        <v>9</v>
      </c>
      <c r="J277" t="str">
        <f>TEXT(Table1_1[[#This Row],[Order Date]],"[$-en-US]mmm")</f>
        <v>Sep</v>
      </c>
    </row>
    <row r="278" spans="1:10" x14ac:dyDescent="0.3">
      <c r="A278" t="s">
        <v>301</v>
      </c>
      <c r="B278" s="2">
        <v>45622</v>
      </c>
      <c r="C278" t="s">
        <v>1274</v>
      </c>
      <c r="D278" t="s">
        <v>1290</v>
      </c>
      <c r="E278">
        <v>6</v>
      </c>
      <c r="F278" s="3">
        <v>374</v>
      </c>
      <c r="G278" s="3">
        <v>2244</v>
      </c>
      <c r="H278" t="s">
        <v>1313</v>
      </c>
      <c r="I278">
        <f>MONTH(Table1_1[[#This Row],[Order Date]])</f>
        <v>11</v>
      </c>
      <c r="J278" t="str">
        <f>TEXT(Table1_1[[#This Row],[Order Date]],"[$-en-US]mmm")</f>
        <v>Nov</v>
      </c>
    </row>
    <row r="279" spans="1:10" x14ac:dyDescent="0.3">
      <c r="A279" t="s">
        <v>302</v>
      </c>
      <c r="B279" s="2">
        <v>45423</v>
      </c>
      <c r="C279" t="s">
        <v>1274</v>
      </c>
      <c r="D279" t="s">
        <v>1290</v>
      </c>
      <c r="E279">
        <v>2</v>
      </c>
      <c r="F279" s="3">
        <v>164</v>
      </c>
      <c r="G279" s="3">
        <v>328</v>
      </c>
      <c r="H279" t="s">
        <v>1313</v>
      </c>
      <c r="I279">
        <f>MONTH(Table1_1[[#This Row],[Order Date]])</f>
        <v>5</v>
      </c>
      <c r="J279" t="str">
        <f>TEXT(Table1_1[[#This Row],[Order Date]],"[$-en-US]mmm")</f>
        <v>May</v>
      </c>
    </row>
    <row r="280" spans="1:10" x14ac:dyDescent="0.3">
      <c r="A280" t="s">
        <v>303</v>
      </c>
      <c r="B280" s="2">
        <v>45627</v>
      </c>
      <c r="C280" t="s">
        <v>1279</v>
      </c>
      <c r="D280" t="s">
        <v>1289</v>
      </c>
      <c r="E280">
        <v>10</v>
      </c>
      <c r="F280" s="3">
        <v>171</v>
      </c>
      <c r="G280" s="3">
        <v>1710</v>
      </c>
      <c r="H280" t="s">
        <v>1314</v>
      </c>
      <c r="I280">
        <f>MONTH(Table1_1[[#This Row],[Order Date]])</f>
        <v>12</v>
      </c>
      <c r="J280" t="str">
        <f>TEXT(Table1_1[[#This Row],[Order Date]],"[$-en-US]mmm")</f>
        <v>Dec</v>
      </c>
    </row>
    <row r="281" spans="1:10" x14ac:dyDescent="0.3">
      <c r="A281" t="s">
        <v>304</v>
      </c>
      <c r="B281" s="2">
        <v>45580</v>
      </c>
      <c r="C281" t="s">
        <v>1279</v>
      </c>
      <c r="D281" t="s">
        <v>1289</v>
      </c>
      <c r="E281">
        <v>8</v>
      </c>
      <c r="F281" s="3">
        <v>490</v>
      </c>
      <c r="G281" s="3">
        <v>3920</v>
      </c>
      <c r="H281" t="s">
        <v>1316</v>
      </c>
      <c r="I281">
        <f>MONTH(Table1_1[[#This Row],[Order Date]])</f>
        <v>10</v>
      </c>
      <c r="J281" t="str">
        <f>TEXT(Table1_1[[#This Row],[Order Date]],"[$-en-US]mmm")</f>
        <v>Oct</v>
      </c>
    </row>
    <row r="282" spans="1:10" x14ac:dyDescent="0.3">
      <c r="A282" t="s">
        <v>305</v>
      </c>
      <c r="B282" s="2">
        <v>45517</v>
      </c>
      <c r="C282" t="s">
        <v>1280</v>
      </c>
      <c r="D282" t="s">
        <v>1290</v>
      </c>
      <c r="E282">
        <v>6</v>
      </c>
      <c r="F282" s="3">
        <v>169</v>
      </c>
      <c r="G282" s="3">
        <v>1014</v>
      </c>
      <c r="H282" t="s">
        <v>1314</v>
      </c>
      <c r="I282">
        <f>MONTH(Table1_1[[#This Row],[Order Date]])</f>
        <v>8</v>
      </c>
      <c r="J282" t="str">
        <f>TEXT(Table1_1[[#This Row],[Order Date]],"[$-en-US]mmm")</f>
        <v>Aug</v>
      </c>
    </row>
    <row r="283" spans="1:10" x14ac:dyDescent="0.3">
      <c r="A283" t="s">
        <v>306</v>
      </c>
      <c r="B283" s="2">
        <v>45447</v>
      </c>
      <c r="C283" t="s">
        <v>1282</v>
      </c>
      <c r="D283" t="s">
        <v>1290</v>
      </c>
      <c r="E283">
        <v>8</v>
      </c>
      <c r="F283" s="3">
        <v>661</v>
      </c>
      <c r="G283" s="3">
        <v>5288</v>
      </c>
      <c r="H283" t="s">
        <v>1315</v>
      </c>
      <c r="I283">
        <f>MONTH(Table1_1[[#This Row],[Order Date]])</f>
        <v>6</v>
      </c>
      <c r="J283" t="str">
        <f>TEXT(Table1_1[[#This Row],[Order Date]],"[$-en-US]mmm")</f>
        <v>Jun</v>
      </c>
    </row>
    <row r="284" spans="1:10" x14ac:dyDescent="0.3">
      <c r="A284" t="s">
        <v>307</v>
      </c>
      <c r="B284" s="2">
        <v>45329</v>
      </c>
      <c r="C284" t="s">
        <v>1276</v>
      </c>
      <c r="D284" t="s">
        <v>1290</v>
      </c>
      <c r="E284">
        <v>6</v>
      </c>
      <c r="F284" s="3">
        <v>534</v>
      </c>
      <c r="G284" s="3">
        <v>3204</v>
      </c>
      <c r="H284" t="s">
        <v>1315</v>
      </c>
      <c r="I284">
        <f>MONTH(Table1_1[[#This Row],[Order Date]])</f>
        <v>2</v>
      </c>
      <c r="J284" t="str">
        <f>TEXT(Table1_1[[#This Row],[Order Date]],"[$-en-US]mmm")</f>
        <v>Feb</v>
      </c>
    </row>
    <row r="285" spans="1:10" x14ac:dyDescent="0.3">
      <c r="A285" t="s">
        <v>308</v>
      </c>
      <c r="B285" s="2">
        <v>45321</v>
      </c>
      <c r="C285" t="s">
        <v>1282</v>
      </c>
      <c r="D285" t="s">
        <v>1290</v>
      </c>
      <c r="E285">
        <v>8</v>
      </c>
      <c r="F285" s="3">
        <v>53</v>
      </c>
      <c r="G285" s="3">
        <v>424</v>
      </c>
      <c r="H285" t="s">
        <v>1315</v>
      </c>
      <c r="I285">
        <f>MONTH(Table1_1[[#This Row],[Order Date]])</f>
        <v>1</v>
      </c>
      <c r="J285" t="str">
        <f>TEXT(Table1_1[[#This Row],[Order Date]],"[$-en-US]mmm")</f>
        <v>Jan</v>
      </c>
    </row>
    <row r="286" spans="1:10" x14ac:dyDescent="0.3">
      <c r="A286" t="s">
        <v>309</v>
      </c>
      <c r="B286" s="2">
        <v>45338</v>
      </c>
      <c r="C286" t="s">
        <v>1277</v>
      </c>
      <c r="D286" t="s">
        <v>1289</v>
      </c>
      <c r="E286">
        <v>2</v>
      </c>
      <c r="F286" s="3">
        <v>675</v>
      </c>
      <c r="G286" s="3">
        <v>1350</v>
      </c>
      <c r="H286" t="s">
        <v>1316</v>
      </c>
      <c r="I286">
        <f>MONTH(Table1_1[[#This Row],[Order Date]])</f>
        <v>2</v>
      </c>
      <c r="J286" t="str">
        <f>TEXT(Table1_1[[#This Row],[Order Date]],"[$-en-US]mmm")</f>
        <v>Feb</v>
      </c>
    </row>
    <row r="287" spans="1:10" x14ac:dyDescent="0.3">
      <c r="A287" t="s">
        <v>310</v>
      </c>
      <c r="B287" s="2">
        <v>45313</v>
      </c>
      <c r="C287" t="s">
        <v>1282</v>
      </c>
      <c r="D287" t="s">
        <v>1290</v>
      </c>
      <c r="E287">
        <v>10</v>
      </c>
      <c r="F287" s="3">
        <v>582</v>
      </c>
      <c r="G287" s="3">
        <v>5820</v>
      </c>
      <c r="H287" t="s">
        <v>1316</v>
      </c>
      <c r="I287">
        <f>MONTH(Table1_1[[#This Row],[Order Date]])</f>
        <v>1</v>
      </c>
      <c r="J287" t="str">
        <f>TEXT(Table1_1[[#This Row],[Order Date]],"[$-en-US]mmm")</f>
        <v>Jan</v>
      </c>
    </row>
    <row r="288" spans="1:10" x14ac:dyDescent="0.3">
      <c r="A288" t="s">
        <v>311</v>
      </c>
      <c r="B288" s="2">
        <v>45535</v>
      </c>
      <c r="C288" t="s">
        <v>1274</v>
      </c>
      <c r="D288" t="s">
        <v>1290</v>
      </c>
      <c r="E288">
        <v>6</v>
      </c>
      <c r="F288" s="3">
        <v>634</v>
      </c>
      <c r="G288" s="3">
        <v>3804</v>
      </c>
      <c r="H288" t="s">
        <v>1313</v>
      </c>
      <c r="I288">
        <f>MONTH(Table1_1[[#This Row],[Order Date]])</f>
        <v>8</v>
      </c>
      <c r="J288" t="str">
        <f>TEXT(Table1_1[[#This Row],[Order Date]],"[$-en-US]mmm")</f>
        <v>Aug</v>
      </c>
    </row>
    <row r="289" spans="1:10" x14ac:dyDescent="0.3">
      <c r="A289" t="s">
        <v>312</v>
      </c>
      <c r="B289" s="2">
        <v>45467</v>
      </c>
      <c r="C289" t="s">
        <v>1276</v>
      </c>
      <c r="D289" t="s">
        <v>1290</v>
      </c>
      <c r="E289">
        <v>8</v>
      </c>
      <c r="F289" s="3">
        <v>120</v>
      </c>
      <c r="G289" s="3">
        <v>960</v>
      </c>
      <c r="H289" t="s">
        <v>1314</v>
      </c>
      <c r="I289">
        <f>MONTH(Table1_1[[#This Row],[Order Date]])</f>
        <v>6</v>
      </c>
      <c r="J289" t="str">
        <f>TEXT(Table1_1[[#This Row],[Order Date]],"[$-en-US]mmm")</f>
        <v>Jun</v>
      </c>
    </row>
    <row r="290" spans="1:10" x14ac:dyDescent="0.3">
      <c r="A290" t="s">
        <v>313</v>
      </c>
      <c r="B290" s="2">
        <v>45654</v>
      </c>
      <c r="C290" t="s">
        <v>1279</v>
      </c>
      <c r="D290" t="s">
        <v>1289</v>
      </c>
      <c r="E290">
        <v>1</v>
      </c>
      <c r="F290" s="3">
        <v>268</v>
      </c>
      <c r="G290" s="3">
        <v>268</v>
      </c>
      <c r="H290" t="s">
        <v>1316</v>
      </c>
      <c r="I290">
        <f>MONTH(Table1_1[[#This Row],[Order Date]])</f>
        <v>12</v>
      </c>
      <c r="J290" t="str">
        <f>TEXT(Table1_1[[#This Row],[Order Date]],"[$-en-US]mmm")</f>
        <v>Dec</v>
      </c>
    </row>
    <row r="291" spans="1:10" x14ac:dyDescent="0.3">
      <c r="A291" t="s">
        <v>314</v>
      </c>
      <c r="B291" s="2">
        <v>45604</v>
      </c>
      <c r="C291" t="s">
        <v>1282</v>
      </c>
      <c r="D291" t="s">
        <v>1290</v>
      </c>
      <c r="E291">
        <v>9</v>
      </c>
      <c r="F291" s="3">
        <v>550</v>
      </c>
      <c r="G291" s="3">
        <v>4950</v>
      </c>
      <c r="H291" t="s">
        <v>1313</v>
      </c>
      <c r="I291">
        <f>MONTH(Table1_1[[#This Row],[Order Date]])</f>
        <v>11</v>
      </c>
      <c r="J291" t="str">
        <f>TEXT(Table1_1[[#This Row],[Order Date]],"[$-en-US]mmm")</f>
        <v>Nov</v>
      </c>
    </row>
    <row r="292" spans="1:10" x14ac:dyDescent="0.3">
      <c r="A292" t="s">
        <v>315</v>
      </c>
      <c r="B292" s="2">
        <v>45490</v>
      </c>
      <c r="C292" t="s">
        <v>1280</v>
      </c>
      <c r="D292" t="s">
        <v>1290</v>
      </c>
      <c r="E292">
        <v>6</v>
      </c>
      <c r="F292" s="3">
        <v>304</v>
      </c>
      <c r="G292" s="3">
        <v>1824</v>
      </c>
      <c r="H292" t="s">
        <v>1316</v>
      </c>
      <c r="I292">
        <f>MONTH(Table1_1[[#This Row],[Order Date]])</f>
        <v>7</v>
      </c>
      <c r="J292" t="str">
        <f>TEXT(Table1_1[[#This Row],[Order Date]],"[$-en-US]mmm")</f>
        <v>Jul</v>
      </c>
    </row>
    <row r="293" spans="1:10" x14ac:dyDescent="0.3">
      <c r="A293" t="s">
        <v>316</v>
      </c>
      <c r="B293" s="2">
        <v>45615</v>
      </c>
      <c r="C293" t="s">
        <v>1280</v>
      </c>
      <c r="D293" t="s">
        <v>1290</v>
      </c>
      <c r="E293">
        <v>10</v>
      </c>
      <c r="F293" s="3">
        <v>68</v>
      </c>
      <c r="G293" s="3">
        <v>680</v>
      </c>
      <c r="H293" t="s">
        <v>1315</v>
      </c>
      <c r="I293">
        <f>MONTH(Table1_1[[#This Row],[Order Date]])</f>
        <v>11</v>
      </c>
      <c r="J293" t="str">
        <f>TEXT(Table1_1[[#This Row],[Order Date]],"[$-en-US]mmm")</f>
        <v>Nov</v>
      </c>
    </row>
    <row r="294" spans="1:10" x14ac:dyDescent="0.3">
      <c r="A294" t="s">
        <v>317</v>
      </c>
      <c r="B294" s="2">
        <v>45577</v>
      </c>
      <c r="C294" t="s">
        <v>1273</v>
      </c>
      <c r="D294" t="s">
        <v>1289</v>
      </c>
      <c r="E294">
        <v>6</v>
      </c>
      <c r="F294" s="3">
        <v>111</v>
      </c>
      <c r="G294" s="3">
        <v>666</v>
      </c>
      <c r="H294" t="s">
        <v>1316</v>
      </c>
      <c r="I294">
        <f>MONTH(Table1_1[[#This Row],[Order Date]])</f>
        <v>10</v>
      </c>
      <c r="J294" t="str">
        <f>TEXT(Table1_1[[#This Row],[Order Date]],"[$-en-US]mmm")</f>
        <v>Oct</v>
      </c>
    </row>
    <row r="295" spans="1:10" x14ac:dyDescent="0.3">
      <c r="A295" t="s">
        <v>318</v>
      </c>
      <c r="B295" s="2">
        <v>45628</v>
      </c>
      <c r="C295" t="s">
        <v>1277</v>
      </c>
      <c r="D295" t="s">
        <v>1289</v>
      </c>
      <c r="E295">
        <v>5</v>
      </c>
      <c r="F295" s="3">
        <v>756</v>
      </c>
      <c r="G295" s="3">
        <v>3780</v>
      </c>
      <c r="H295" t="s">
        <v>1313</v>
      </c>
      <c r="I295">
        <f>MONTH(Table1_1[[#This Row],[Order Date]])</f>
        <v>12</v>
      </c>
      <c r="J295" t="str">
        <f>TEXT(Table1_1[[#This Row],[Order Date]],"[$-en-US]mmm")</f>
        <v>Dec</v>
      </c>
    </row>
    <row r="296" spans="1:10" x14ac:dyDescent="0.3">
      <c r="A296" t="s">
        <v>319</v>
      </c>
      <c r="B296" s="2">
        <v>45631</v>
      </c>
      <c r="C296" t="s">
        <v>1280</v>
      </c>
      <c r="D296" t="s">
        <v>1290</v>
      </c>
      <c r="E296">
        <v>2</v>
      </c>
      <c r="F296" s="3">
        <v>611</v>
      </c>
      <c r="G296" s="3">
        <v>1222</v>
      </c>
      <c r="H296" t="s">
        <v>1313</v>
      </c>
      <c r="I296">
        <f>MONTH(Table1_1[[#This Row],[Order Date]])</f>
        <v>12</v>
      </c>
      <c r="J296" t="str">
        <f>TEXT(Table1_1[[#This Row],[Order Date]],"[$-en-US]mmm")</f>
        <v>Dec</v>
      </c>
    </row>
    <row r="297" spans="1:10" x14ac:dyDescent="0.3">
      <c r="A297" t="s">
        <v>321</v>
      </c>
      <c r="B297" s="2">
        <v>45335</v>
      </c>
      <c r="C297" t="s">
        <v>1279</v>
      </c>
      <c r="D297" t="s">
        <v>1289</v>
      </c>
      <c r="E297">
        <v>10</v>
      </c>
      <c r="F297" s="3">
        <v>740</v>
      </c>
      <c r="G297" s="3">
        <v>7400</v>
      </c>
      <c r="H297" t="s">
        <v>1315</v>
      </c>
      <c r="I297">
        <f>MONTH(Table1_1[[#This Row],[Order Date]])</f>
        <v>2</v>
      </c>
      <c r="J297" t="str">
        <f>TEXT(Table1_1[[#This Row],[Order Date]],"[$-en-US]mmm")</f>
        <v>Feb</v>
      </c>
    </row>
    <row r="298" spans="1:10" x14ac:dyDescent="0.3">
      <c r="A298" t="s">
        <v>322</v>
      </c>
      <c r="B298" s="2">
        <v>45357</v>
      </c>
      <c r="C298" t="s">
        <v>1275</v>
      </c>
      <c r="D298" t="s">
        <v>1289</v>
      </c>
      <c r="E298">
        <v>6</v>
      </c>
      <c r="F298" s="3">
        <v>847</v>
      </c>
      <c r="G298" s="3">
        <v>5082</v>
      </c>
      <c r="H298" t="s">
        <v>1314</v>
      </c>
      <c r="I298">
        <f>MONTH(Table1_1[[#This Row],[Order Date]])</f>
        <v>3</v>
      </c>
      <c r="J298" t="str">
        <f>TEXT(Table1_1[[#This Row],[Order Date]],"[$-en-US]mmm")</f>
        <v>Mar</v>
      </c>
    </row>
    <row r="299" spans="1:10" x14ac:dyDescent="0.3">
      <c r="A299" t="s">
        <v>323</v>
      </c>
      <c r="B299" s="2">
        <v>45301</v>
      </c>
      <c r="C299" t="s">
        <v>1275</v>
      </c>
      <c r="D299" t="s">
        <v>1289</v>
      </c>
      <c r="E299">
        <v>9</v>
      </c>
      <c r="F299" s="3">
        <v>385</v>
      </c>
      <c r="G299" s="3">
        <v>3465</v>
      </c>
      <c r="H299" t="s">
        <v>1315</v>
      </c>
      <c r="I299">
        <f>MONTH(Table1_1[[#This Row],[Order Date]])</f>
        <v>1</v>
      </c>
      <c r="J299" t="str">
        <f>TEXT(Table1_1[[#This Row],[Order Date]],"[$-en-US]mmm")</f>
        <v>Jan</v>
      </c>
    </row>
    <row r="300" spans="1:10" x14ac:dyDescent="0.3">
      <c r="A300" t="s">
        <v>324</v>
      </c>
      <c r="B300" s="2">
        <v>45466</v>
      </c>
      <c r="C300" t="s">
        <v>1277</v>
      </c>
      <c r="D300" t="s">
        <v>1289</v>
      </c>
      <c r="E300">
        <v>3</v>
      </c>
      <c r="F300" s="3">
        <v>234</v>
      </c>
      <c r="G300" s="3">
        <v>702</v>
      </c>
      <c r="H300" t="s">
        <v>1316</v>
      </c>
      <c r="I300">
        <f>MONTH(Table1_1[[#This Row],[Order Date]])</f>
        <v>6</v>
      </c>
      <c r="J300" t="str">
        <f>TEXT(Table1_1[[#This Row],[Order Date]],"[$-en-US]mmm")</f>
        <v>Jun</v>
      </c>
    </row>
    <row r="301" spans="1:10" x14ac:dyDescent="0.3">
      <c r="A301" t="s">
        <v>325</v>
      </c>
      <c r="B301" s="2">
        <v>45371</v>
      </c>
      <c r="C301" t="s">
        <v>1274</v>
      </c>
      <c r="D301" t="s">
        <v>1290</v>
      </c>
      <c r="E301">
        <v>4</v>
      </c>
      <c r="F301" s="3">
        <v>155</v>
      </c>
      <c r="G301" s="3">
        <v>620</v>
      </c>
      <c r="H301" t="s">
        <v>1314</v>
      </c>
      <c r="I301">
        <f>MONTH(Table1_1[[#This Row],[Order Date]])</f>
        <v>3</v>
      </c>
      <c r="J301" t="str">
        <f>TEXT(Table1_1[[#This Row],[Order Date]],"[$-en-US]mmm")</f>
        <v>Mar</v>
      </c>
    </row>
    <row r="302" spans="1:10" x14ac:dyDescent="0.3">
      <c r="A302" t="s">
        <v>326</v>
      </c>
      <c r="B302" s="2">
        <v>45568</v>
      </c>
      <c r="C302" t="s">
        <v>1277</v>
      </c>
      <c r="D302" t="s">
        <v>1289</v>
      </c>
      <c r="E302">
        <v>2</v>
      </c>
      <c r="F302" s="3">
        <v>534</v>
      </c>
      <c r="G302" s="3">
        <v>1068</v>
      </c>
      <c r="H302" t="s">
        <v>1314</v>
      </c>
      <c r="I302">
        <f>MONTH(Table1_1[[#This Row],[Order Date]])</f>
        <v>10</v>
      </c>
      <c r="J302" t="str">
        <f>TEXT(Table1_1[[#This Row],[Order Date]],"[$-en-US]mmm")</f>
        <v>Oct</v>
      </c>
    </row>
    <row r="303" spans="1:10" x14ac:dyDescent="0.3">
      <c r="A303" t="s">
        <v>327</v>
      </c>
      <c r="B303" s="2">
        <v>45597</v>
      </c>
      <c r="C303" t="s">
        <v>1280</v>
      </c>
      <c r="D303" t="s">
        <v>1290</v>
      </c>
      <c r="E303">
        <v>10</v>
      </c>
      <c r="F303" s="3">
        <v>149</v>
      </c>
      <c r="G303" s="3">
        <v>1490</v>
      </c>
      <c r="H303" t="s">
        <v>1316</v>
      </c>
      <c r="I303">
        <f>MONTH(Table1_1[[#This Row],[Order Date]])</f>
        <v>11</v>
      </c>
      <c r="J303" t="str">
        <f>TEXT(Table1_1[[#This Row],[Order Date]],"[$-en-US]mmm")</f>
        <v>Nov</v>
      </c>
    </row>
    <row r="304" spans="1:10" x14ac:dyDescent="0.3">
      <c r="A304" t="s">
        <v>328</v>
      </c>
      <c r="B304" s="2">
        <v>45646</v>
      </c>
      <c r="C304" t="s">
        <v>1279</v>
      </c>
      <c r="D304" t="s">
        <v>1289</v>
      </c>
      <c r="E304">
        <v>3</v>
      </c>
      <c r="F304" s="3">
        <v>200</v>
      </c>
      <c r="G304" s="3">
        <v>600</v>
      </c>
      <c r="H304" t="s">
        <v>1313</v>
      </c>
      <c r="I304">
        <f>MONTH(Table1_1[[#This Row],[Order Date]])</f>
        <v>12</v>
      </c>
      <c r="J304" t="str">
        <f>TEXT(Table1_1[[#This Row],[Order Date]],"[$-en-US]mmm")</f>
        <v>Dec</v>
      </c>
    </row>
    <row r="305" spans="1:10" x14ac:dyDescent="0.3">
      <c r="A305" t="s">
        <v>329</v>
      </c>
      <c r="B305" s="2">
        <v>45478</v>
      </c>
      <c r="C305" t="s">
        <v>1282</v>
      </c>
      <c r="D305" t="s">
        <v>1290</v>
      </c>
      <c r="E305">
        <v>1</v>
      </c>
      <c r="F305" s="3">
        <v>435</v>
      </c>
      <c r="G305" s="3">
        <v>435</v>
      </c>
      <c r="H305" t="s">
        <v>1313</v>
      </c>
      <c r="I305">
        <f>MONTH(Table1_1[[#This Row],[Order Date]])</f>
        <v>7</v>
      </c>
      <c r="J305" t="str">
        <f>TEXT(Table1_1[[#This Row],[Order Date]],"[$-en-US]mmm")</f>
        <v>Jul</v>
      </c>
    </row>
    <row r="306" spans="1:10" x14ac:dyDescent="0.3">
      <c r="A306" t="s">
        <v>330</v>
      </c>
      <c r="B306" s="2">
        <v>45521</v>
      </c>
      <c r="C306" t="s">
        <v>1282</v>
      </c>
      <c r="D306" t="s">
        <v>1290</v>
      </c>
      <c r="E306">
        <v>10</v>
      </c>
      <c r="F306" s="3">
        <v>306</v>
      </c>
      <c r="G306" s="3">
        <v>3060</v>
      </c>
      <c r="H306" t="s">
        <v>1313</v>
      </c>
      <c r="I306">
        <f>MONTH(Table1_1[[#This Row],[Order Date]])</f>
        <v>8</v>
      </c>
      <c r="J306" t="str">
        <f>TEXT(Table1_1[[#This Row],[Order Date]],"[$-en-US]mmm")</f>
        <v>Aug</v>
      </c>
    </row>
    <row r="307" spans="1:10" x14ac:dyDescent="0.3">
      <c r="A307" t="s">
        <v>331</v>
      </c>
      <c r="B307" s="2">
        <v>45532</v>
      </c>
      <c r="C307" t="s">
        <v>1274</v>
      </c>
      <c r="D307" t="s">
        <v>1290</v>
      </c>
      <c r="E307">
        <v>5</v>
      </c>
      <c r="F307" s="3">
        <v>843</v>
      </c>
      <c r="G307" s="3">
        <v>4215</v>
      </c>
      <c r="H307" t="s">
        <v>1313</v>
      </c>
      <c r="I307">
        <f>MONTH(Table1_1[[#This Row],[Order Date]])</f>
        <v>8</v>
      </c>
      <c r="J307" t="str">
        <f>TEXT(Table1_1[[#This Row],[Order Date]],"[$-en-US]mmm")</f>
        <v>Aug</v>
      </c>
    </row>
    <row r="308" spans="1:10" x14ac:dyDescent="0.3">
      <c r="A308" t="s">
        <v>332</v>
      </c>
      <c r="B308" s="2">
        <v>45528</v>
      </c>
      <c r="C308" t="s">
        <v>1280</v>
      </c>
      <c r="D308" t="s">
        <v>1290</v>
      </c>
      <c r="E308">
        <v>10</v>
      </c>
      <c r="F308" s="3">
        <v>466</v>
      </c>
      <c r="G308" s="3">
        <v>4660</v>
      </c>
      <c r="H308" t="s">
        <v>1315</v>
      </c>
      <c r="I308">
        <f>MONTH(Table1_1[[#This Row],[Order Date]])</f>
        <v>8</v>
      </c>
      <c r="J308" t="str">
        <f>TEXT(Table1_1[[#This Row],[Order Date]],"[$-en-US]mmm")</f>
        <v>Aug</v>
      </c>
    </row>
    <row r="309" spans="1:10" x14ac:dyDescent="0.3">
      <c r="A309" t="s">
        <v>333</v>
      </c>
      <c r="B309" s="2">
        <v>45506</v>
      </c>
      <c r="C309" t="s">
        <v>1275</v>
      </c>
      <c r="D309" t="s">
        <v>1289</v>
      </c>
      <c r="E309">
        <v>9</v>
      </c>
      <c r="F309" s="3">
        <v>555</v>
      </c>
      <c r="G309" s="3">
        <v>4995</v>
      </c>
      <c r="H309" t="s">
        <v>1313</v>
      </c>
      <c r="I309">
        <f>MONTH(Table1_1[[#This Row],[Order Date]])</f>
        <v>8</v>
      </c>
      <c r="J309" t="str">
        <f>TEXT(Table1_1[[#This Row],[Order Date]],"[$-en-US]mmm")</f>
        <v>Aug</v>
      </c>
    </row>
    <row r="310" spans="1:10" x14ac:dyDescent="0.3">
      <c r="A310" t="s">
        <v>334</v>
      </c>
      <c r="B310" s="2">
        <v>45420</v>
      </c>
      <c r="C310" t="s">
        <v>1274</v>
      </c>
      <c r="D310" t="s">
        <v>1290</v>
      </c>
      <c r="E310">
        <v>10</v>
      </c>
      <c r="F310" s="3">
        <v>156</v>
      </c>
      <c r="G310" s="3">
        <v>1560</v>
      </c>
      <c r="H310" t="s">
        <v>1314</v>
      </c>
      <c r="I310">
        <f>MONTH(Table1_1[[#This Row],[Order Date]])</f>
        <v>5</v>
      </c>
      <c r="J310" t="str">
        <f>TEXT(Table1_1[[#This Row],[Order Date]],"[$-en-US]mmm")</f>
        <v>May</v>
      </c>
    </row>
    <row r="311" spans="1:10" x14ac:dyDescent="0.3">
      <c r="A311" t="s">
        <v>335</v>
      </c>
      <c r="B311" s="2">
        <v>45344</v>
      </c>
      <c r="C311" t="s">
        <v>1282</v>
      </c>
      <c r="D311" t="s">
        <v>1290</v>
      </c>
      <c r="E311">
        <v>6</v>
      </c>
      <c r="F311" s="3">
        <v>582</v>
      </c>
      <c r="G311" s="3">
        <v>3492</v>
      </c>
      <c r="H311" t="s">
        <v>1314</v>
      </c>
      <c r="I311">
        <f>MONTH(Table1_1[[#This Row],[Order Date]])</f>
        <v>2</v>
      </c>
      <c r="J311" t="str">
        <f>TEXT(Table1_1[[#This Row],[Order Date]],"[$-en-US]mmm")</f>
        <v>Feb</v>
      </c>
    </row>
    <row r="312" spans="1:10" x14ac:dyDescent="0.3">
      <c r="A312" t="s">
        <v>336</v>
      </c>
      <c r="B312" s="2">
        <v>45374</v>
      </c>
      <c r="C312" t="s">
        <v>1277</v>
      </c>
      <c r="D312" t="s">
        <v>1289</v>
      </c>
      <c r="E312">
        <v>2</v>
      </c>
      <c r="F312" s="3">
        <v>796</v>
      </c>
      <c r="G312" s="3">
        <v>1592</v>
      </c>
      <c r="H312" t="s">
        <v>1315</v>
      </c>
      <c r="I312">
        <f>MONTH(Table1_1[[#This Row],[Order Date]])</f>
        <v>3</v>
      </c>
      <c r="J312" t="str">
        <f>TEXT(Table1_1[[#This Row],[Order Date]],"[$-en-US]mmm")</f>
        <v>Mar</v>
      </c>
    </row>
    <row r="313" spans="1:10" x14ac:dyDescent="0.3">
      <c r="A313" t="s">
        <v>337</v>
      </c>
      <c r="B313" s="2">
        <v>45515</v>
      </c>
      <c r="C313" t="s">
        <v>1282</v>
      </c>
      <c r="D313" t="s">
        <v>1290</v>
      </c>
      <c r="E313">
        <v>9</v>
      </c>
      <c r="F313" s="3">
        <v>165</v>
      </c>
      <c r="G313" s="3">
        <v>1485</v>
      </c>
      <c r="H313" t="s">
        <v>1314</v>
      </c>
      <c r="I313">
        <f>MONTH(Table1_1[[#This Row],[Order Date]])</f>
        <v>8</v>
      </c>
      <c r="J313" t="str">
        <f>TEXT(Table1_1[[#This Row],[Order Date]],"[$-en-US]mmm")</f>
        <v>Aug</v>
      </c>
    </row>
    <row r="314" spans="1:10" x14ac:dyDescent="0.3">
      <c r="A314" t="s">
        <v>338</v>
      </c>
      <c r="B314" s="2">
        <v>45305</v>
      </c>
      <c r="C314" t="s">
        <v>1274</v>
      </c>
      <c r="D314" t="s">
        <v>1290</v>
      </c>
      <c r="E314">
        <v>8</v>
      </c>
      <c r="F314" s="3">
        <v>372</v>
      </c>
      <c r="G314" s="3">
        <v>2976</v>
      </c>
      <c r="H314" t="s">
        <v>1316</v>
      </c>
      <c r="I314">
        <f>MONTH(Table1_1[[#This Row],[Order Date]])</f>
        <v>1</v>
      </c>
      <c r="J314" t="str">
        <f>TEXT(Table1_1[[#This Row],[Order Date]],"[$-en-US]mmm")</f>
        <v>Jan</v>
      </c>
    </row>
    <row r="315" spans="1:10" x14ac:dyDescent="0.3">
      <c r="A315" t="s">
        <v>339</v>
      </c>
      <c r="B315" s="2">
        <v>45483</v>
      </c>
      <c r="C315" t="s">
        <v>1276</v>
      </c>
      <c r="D315" t="s">
        <v>1290</v>
      </c>
      <c r="E315">
        <v>7</v>
      </c>
      <c r="F315" s="3">
        <v>529</v>
      </c>
      <c r="G315" s="3">
        <v>3703</v>
      </c>
      <c r="H315" t="s">
        <v>1313</v>
      </c>
      <c r="I315">
        <f>MONTH(Table1_1[[#This Row],[Order Date]])</f>
        <v>7</v>
      </c>
      <c r="J315" t="str">
        <f>TEXT(Table1_1[[#This Row],[Order Date]],"[$-en-US]mmm")</f>
        <v>Jul</v>
      </c>
    </row>
    <row r="316" spans="1:10" x14ac:dyDescent="0.3">
      <c r="A316" t="s">
        <v>340</v>
      </c>
      <c r="B316" s="2">
        <v>45406</v>
      </c>
      <c r="C316" t="s">
        <v>1275</v>
      </c>
      <c r="D316" t="s">
        <v>1289</v>
      </c>
      <c r="E316">
        <v>2</v>
      </c>
      <c r="F316" s="3">
        <v>398</v>
      </c>
      <c r="G316" s="3">
        <v>796</v>
      </c>
      <c r="H316" t="s">
        <v>1314</v>
      </c>
      <c r="I316">
        <f>MONTH(Table1_1[[#This Row],[Order Date]])</f>
        <v>4</v>
      </c>
      <c r="J316" t="str">
        <f>TEXT(Table1_1[[#This Row],[Order Date]],"[$-en-US]mmm")</f>
        <v>Apr</v>
      </c>
    </row>
    <row r="317" spans="1:10" x14ac:dyDescent="0.3">
      <c r="A317" t="s">
        <v>341</v>
      </c>
      <c r="B317" s="2">
        <v>45624</v>
      </c>
      <c r="C317" t="s">
        <v>1280</v>
      </c>
      <c r="D317" t="s">
        <v>1290</v>
      </c>
      <c r="E317">
        <v>2</v>
      </c>
      <c r="F317" s="3">
        <v>874</v>
      </c>
      <c r="G317" s="3">
        <v>1748</v>
      </c>
      <c r="H317" t="s">
        <v>1315</v>
      </c>
      <c r="I317">
        <f>MONTH(Table1_1[[#This Row],[Order Date]])</f>
        <v>11</v>
      </c>
      <c r="J317" t="str">
        <f>TEXT(Table1_1[[#This Row],[Order Date]],"[$-en-US]mmm")</f>
        <v>Nov</v>
      </c>
    </row>
    <row r="318" spans="1:10" x14ac:dyDescent="0.3">
      <c r="A318" t="s">
        <v>342</v>
      </c>
      <c r="B318" s="2">
        <v>45438</v>
      </c>
      <c r="C318" t="s">
        <v>1279</v>
      </c>
      <c r="D318" t="s">
        <v>1289</v>
      </c>
      <c r="E318">
        <v>3</v>
      </c>
      <c r="F318" s="3">
        <v>54</v>
      </c>
      <c r="G318" s="3">
        <v>162</v>
      </c>
      <c r="H318" t="s">
        <v>1316</v>
      </c>
      <c r="I318">
        <f>MONTH(Table1_1[[#This Row],[Order Date]])</f>
        <v>5</v>
      </c>
      <c r="J318" t="str">
        <f>TEXT(Table1_1[[#This Row],[Order Date]],"[$-en-US]mmm")</f>
        <v>May</v>
      </c>
    </row>
    <row r="319" spans="1:10" x14ac:dyDescent="0.3">
      <c r="A319" t="s">
        <v>343</v>
      </c>
      <c r="B319" s="2">
        <v>45607</v>
      </c>
      <c r="C319" t="s">
        <v>1279</v>
      </c>
      <c r="D319" t="s">
        <v>1289</v>
      </c>
      <c r="E319">
        <v>8</v>
      </c>
      <c r="F319" s="3">
        <v>474</v>
      </c>
      <c r="G319" s="3">
        <v>3792</v>
      </c>
      <c r="H319" t="s">
        <v>1314</v>
      </c>
      <c r="I319">
        <f>MONTH(Table1_1[[#This Row],[Order Date]])</f>
        <v>11</v>
      </c>
      <c r="J319" t="str">
        <f>TEXT(Table1_1[[#This Row],[Order Date]],"[$-en-US]mmm")</f>
        <v>Nov</v>
      </c>
    </row>
    <row r="320" spans="1:10" x14ac:dyDescent="0.3">
      <c r="A320" t="s">
        <v>344</v>
      </c>
      <c r="B320" s="2">
        <v>45402</v>
      </c>
      <c r="C320" t="s">
        <v>1273</v>
      </c>
      <c r="D320" t="s">
        <v>1289</v>
      </c>
      <c r="E320">
        <v>1</v>
      </c>
      <c r="F320" s="3">
        <v>277</v>
      </c>
      <c r="G320" s="3">
        <v>277</v>
      </c>
      <c r="H320" t="s">
        <v>1313</v>
      </c>
      <c r="I320">
        <f>MONTH(Table1_1[[#This Row],[Order Date]])</f>
        <v>4</v>
      </c>
      <c r="J320" t="str">
        <f>TEXT(Table1_1[[#This Row],[Order Date]],"[$-en-US]mmm")</f>
        <v>Apr</v>
      </c>
    </row>
    <row r="321" spans="1:10" x14ac:dyDescent="0.3">
      <c r="A321" t="s">
        <v>345</v>
      </c>
      <c r="B321" s="2">
        <v>45439</v>
      </c>
      <c r="C321" t="s">
        <v>1275</v>
      </c>
      <c r="D321" t="s">
        <v>1289</v>
      </c>
      <c r="E321">
        <v>2</v>
      </c>
      <c r="F321" s="3">
        <v>809</v>
      </c>
      <c r="G321" s="3">
        <v>1618</v>
      </c>
      <c r="H321" t="s">
        <v>1313</v>
      </c>
      <c r="I321">
        <f>MONTH(Table1_1[[#This Row],[Order Date]])</f>
        <v>5</v>
      </c>
      <c r="J321" t="str">
        <f>TEXT(Table1_1[[#This Row],[Order Date]],"[$-en-US]mmm")</f>
        <v>May</v>
      </c>
    </row>
    <row r="322" spans="1:10" x14ac:dyDescent="0.3">
      <c r="A322" t="s">
        <v>346</v>
      </c>
      <c r="B322" s="2">
        <v>45414</v>
      </c>
      <c r="C322" t="s">
        <v>1277</v>
      </c>
      <c r="D322" t="s">
        <v>1289</v>
      </c>
      <c r="E322">
        <v>2</v>
      </c>
      <c r="F322" s="3">
        <v>63</v>
      </c>
      <c r="G322" s="3">
        <v>126</v>
      </c>
      <c r="H322" t="s">
        <v>1316</v>
      </c>
      <c r="I322">
        <f>MONTH(Table1_1[[#This Row],[Order Date]])</f>
        <v>5</v>
      </c>
      <c r="J322" t="str">
        <f>TEXT(Table1_1[[#This Row],[Order Date]],"[$-en-US]mmm")</f>
        <v>May</v>
      </c>
    </row>
    <row r="323" spans="1:10" x14ac:dyDescent="0.3">
      <c r="A323" t="s">
        <v>347</v>
      </c>
      <c r="B323" s="2">
        <v>45547</v>
      </c>
      <c r="C323" t="s">
        <v>1282</v>
      </c>
      <c r="D323" t="s">
        <v>1290</v>
      </c>
      <c r="E323">
        <v>2</v>
      </c>
      <c r="F323" s="3">
        <v>128</v>
      </c>
      <c r="G323" s="3">
        <v>256</v>
      </c>
      <c r="H323" t="s">
        <v>1314</v>
      </c>
      <c r="I323">
        <f>MONTH(Table1_1[[#This Row],[Order Date]])</f>
        <v>9</v>
      </c>
      <c r="J323" t="str">
        <f>TEXT(Table1_1[[#This Row],[Order Date]],"[$-en-US]mmm")</f>
        <v>Sep</v>
      </c>
    </row>
    <row r="324" spans="1:10" x14ac:dyDescent="0.3">
      <c r="A324" t="s">
        <v>348</v>
      </c>
      <c r="B324" s="2">
        <v>45511</v>
      </c>
      <c r="C324" t="s">
        <v>1274</v>
      </c>
      <c r="D324" t="s">
        <v>1290</v>
      </c>
      <c r="E324">
        <v>3</v>
      </c>
      <c r="F324" s="3">
        <v>313</v>
      </c>
      <c r="G324" s="3">
        <v>939</v>
      </c>
      <c r="H324" t="s">
        <v>1314</v>
      </c>
      <c r="I324">
        <f>MONTH(Table1_1[[#This Row],[Order Date]])</f>
        <v>8</v>
      </c>
      <c r="J324" t="str">
        <f>TEXT(Table1_1[[#This Row],[Order Date]],"[$-en-US]mmm")</f>
        <v>Aug</v>
      </c>
    </row>
    <row r="325" spans="1:10" x14ac:dyDescent="0.3">
      <c r="A325" t="s">
        <v>349</v>
      </c>
      <c r="B325" s="2">
        <v>45505</v>
      </c>
      <c r="C325" t="s">
        <v>1280</v>
      </c>
      <c r="D325" t="s">
        <v>1290</v>
      </c>
      <c r="E325">
        <v>4</v>
      </c>
      <c r="F325" s="3">
        <v>599</v>
      </c>
      <c r="G325" s="3">
        <v>2396</v>
      </c>
      <c r="H325" t="s">
        <v>1313</v>
      </c>
      <c r="I325">
        <f>MONTH(Table1_1[[#This Row],[Order Date]])</f>
        <v>8</v>
      </c>
      <c r="J325" t="str">
        <f>TEXT(Table1_1[[#This Row],[Order Date]],"[$-en-US]mmm")</f>
        <v>Aug</v>
      </c>
    </row>
    <row r="326" spans="1:10" x14ac:dyDescent="0.3">
      <c r="A326" t="s">
        <v>350</v>
      </c>
      <c r="B326" s="2">
        <v>45326</v>
      </c>
      <c r="C326" t="s">
        <v>1273</v>
      </c>
      <c r="D326" t="s">
        <v>1289</v>
      </c>
      <c r="E326">
        <v>9</v>
      </c>
      <c r="F326" s="3">
        <v>384</v>
      </c>
      <c r="G326" s="3">
        <v>3456</v>
      </c>
      <c r="H326" t="s">
        <v>1314</v>
      </c>
      <c r="I326">
        <f>MONTH(Table1_1[[#This Row],[Order Date]])</f>
        <v>2</v>
      </c>
      <c r="J326" t="str">
        <f>TEXT(Table1_1[[#This Row],[Order Date]],"[$-en-US]mmm")</f>
        <v>Feb</v>
      </c>
    </row>
    <row r="327" spans="1:10" x14ac:dyDescent="0.3">
      <c r="A327" t="s">
        <v>351</v>
      </c>
      <c r="B327" s="2">
        <v>45617</v>
      </c>
      <c r="C327" t="s">
        <v>1275</v>
      </c>
      <c r="D327" t="s">
        <v>1289</v>
      </c>
      <c r="E327">
        <v>8</v>
      </c>
      <c r="F327" s="3">
        <v>59</v>
      </c>
      <c r="G327" s="3">
        <v>472</v>
      </c>
      <c r="H327" t="s">
        <v>1316</v>
      </c>
      <c r="I327">
        <f>MONTH(Table1_1[[#This Row],[Order Date]])</f>
        <v>11</v>
      </c>
      <c r="J327" t="str">
        <f>TEXT(Table1_1[[#This Row],[Order Date]],"[$-en-US]mmm")</f>
        <v>Nov</v>
      </c>
    </row>
    <row r="328" spans="1:10" x14ac:dyDescent="0.3">
      <c r="A328" t="s">
        <v>352</v>
      </c>
      <c r="B328" s="2">
        <v>45300</v>
      </c>
      <c r="C328" t="s">
        <v>1280</v>
      </c>
      <c r="D328" t="s">
        <v>1290</v>
      </c>
      <c r="E328">
        <v>5</v>
      </c>
      <c r="F328" s="3">
        <v>780</v>
      </c>
      <c r="G328" s="3">
        <v>3900</v>
      </c>
      <c r="H328" t="s">
        <v>1315</v>
      </c>
      <c r="I328">
        <f>MONTH(Table1_1[[#This Row],[Order Date]])</f>
        <v>1</v>
      </c>
      <c r="J328" t="str">
        <f>TEXT(Table1_1[[#This Row],[Order Date]],"[$-en-US]mmm")</f>
        <v>Jan</v>
      </c>
    </row>
    <row r="329" spans="1:10" x14ac:dyDescent="0.3">
      <c r="A329" t="s">
        <v>353</v>
      </c>
      <c r="B329" s="2">
        <v>45628</v>
      </c>
      <c r="C329" t="s">
        <v>1273</v>
      </c>
      <c r="D329" t="s">
        <v>1289</v>
      </c>
      <c r="E329">
        <v>6</v>
      </c>
      <c r="F329" s="3">
        <v>261</v>
      </c>
      <c r="G329" s="3">
        <v>1566</v>
      </c>
      <c r="H329" t="s">
        <v>1314</v>
      </c>
      <c r="I329">
        <f>MONTH(Table1_1[[#This Row],[Order Date]])</f>
        <v>12</v>
      </c>
      <c r="J329" t="str">
        <f>TEXT(Table1_1[[#This Row],[Order Date]],"[$-en-US]mmm")</f>
        <v>Dec</v>
      </c>
    </row>
    <row r="330" spans="1:10" x14ac:dyDescent="0.3">
      <c r="A330" t="s">
        <v>354</v>
      </c>
      <c r="B330" s="2">
        <v>45472</v>
      </c>
      <c r="C330" t="s">
        <v>1280</v>
      </c>
      <c r="D330" t="s">
        <v>1290</v>
      </c>
      <c r="E330">
        <v>3</v>
      </c>
      <c r="F330" s="3">
        <v>60</v>
      </c>
      <c r="G330" s="3">
        <v>180</v>
      </c>
      <c r="H330" t="s">
        <v>1315</v>
      </c>
      <c r="I330">
        <f>MONTH(Table1_1[[#This Row],[Order Date]])</f>
        <v>6</v>
      </c>
      <c r="J330" t="str">
        <f>TEXT(Table1_1[[#This Row],[Order Date]],"[$-en-US]mmm")</f>
        <v>Jun</v>
      </c>
    </row>
    <row r="331" spans="1:10" x14ac:dyDescent="0.3">
      <c r="A331" t="s">
        <v>355</v>
      </c>
      <c r="B331" s="2">
        <v>45537</v>
      </c>
      <c r="C331" t="s">
        <v>1279</v>
      </c>
      <c r="D331" t="s">
        <v>1289</v>
      </c>
      <c r="E331">
        <v>8</v>
      </c>
      <c r="F331" s="3">
        <v>727</v>
      </c>
      <c r="G331" s="3">
        <v>5816</v>
      </c>
      <c r="H331" t="s">
        <v>1313</v>
      </c>
      <c r="I331">
        <f>MONTH(Table1_1[[#This Row],[Order Date]])</f>
        <v>9</v>
      </c>
      <c r="J331" t="str">
        <f>TEXT(Table1_1[[#This Row],[Order Date]],"[$-en-US]mmm")</f>
        <v>Sep</v>
      </c>
    </row>
    <row r="332" spans="1:10" x14ac:dyDescent="0.3">
      <c r="A332" t="s">
        <v>356</v>
      </c>
      <c r="B332" s="2">
        <v>45526</v>
      </c>
      <c r="C332" t="s">
        <v>1279</v>
      </c>
      <c r="D332" t="s">
        <v>1289</v>
      </c>
      <c r="E332">
        <v>2</v>
      </c>
      <c r="F332" s="3">
        <v>748</v>
      </c>
      <c r="G332" s="3">
        <v>1496</v>
      </c>
      <c r="H332" t="s">
        <v>1314</v>
      </c>
      <c r="I332">
        <f>MONTH(Table1_1[[#This Row],[Order Date]])</f>
        <v>8</v>
      </c>
      <c r="J332" t="str">
        <f>TEXT(Table1_1[[#This Row],[Order Date]],"[$-en-US]mmm")</f>
        <v>Aug</v>
      </c>
    </row>
    <row r="333" spans="1:10" x14ac:dyDescent="0.3">
      <c r="A333" t="s">
        <v>357</v>
      </c>
      <c r="B333" s="2">
        <v>45394</v>
      </c>
      <c r="C333" t="s">
        <v>1277</v>
      </c>
      <c r="D333" t="s">
        <v>1289</v>
      </c>
      <c r="E333">
        <v>4</v>
      </c>
      <c r="F333" s="3">
        <v>59</v>
      </c>
      <c r="G333" s="3">
        <v>236</v>
      </c>
      <c r="H333" t="s">
        <v>1314</v>
      </c>
      <c r="I333">
        <f>MONTH(Table1_1[[#This Row],[Order Date]])</f>
        <v>4</v>
      </c>
      <c r="J333" t="str">
        <f>TEXT(Table1_1[[#This Row],[Order Date]],"[$-en-US]mmm")</f>
        <v>Apr</v>
      </c>
    </row>
    <row r="334" spans="1:10" x14ac:dyDescent="0.3">
      <c r="A334" t="s">
        <v>358</v>
      </c>
      <c r="B334" s="2">
        <v>45495</v>
      </c>
      <c r="C334" t="s">
        <v>1280</v>
      </c>
      <c r="D334" t="s">
        <v>1290</v>
      </c>
      <c r="E334">
        <v>5</v>
      </c>
      <c r="F334" s="3">
        <v>542</v>
      </c>
      <c r="G334" s="3">
        <v>2710</v>
      </c>
      <c r="H334" t="s">
        <v>1316</v>
      </c>
      <c r="I334">
        <f>MONTH(Table1_1[[#This Row],[Order Date]])</f>
        <v>7</v>
      </c>
      <c r="J334" t="str">
        <f>TEXT(Table1_1[[#This Row],[Order Date]],"[$-en-US]mmm")</f>
        <v>Jul</v>
      </c>
    </row>
    <row r="335" spans="1:10" x14ac:dyDescent="0.3">
      <c r="A335" t="s">
        <v>359</v>
      </c>
      <c r="B335" s="2">
        <v>45623</v>
      </c>
      <c r="C335" t="s">
        <v>1277</v>
      </c>
      <c r="D335" t="s">
        <v>1289</v>
      </c>
      <c r="E335">
        <v>1</v>
      </c>
      <c r="F335" s="3">
        <v>786</v>
      </c>
      <c r="G335" s="3">
        <v>786</v>
      </c>
      <c r="H335" t="s">
        <v>1313</v>
      </c>
      <c r="I335">
        <f>MONTH(Table1_1[[#This Row],[Order Date]])</f>
        <v>11</v>
      </c>
      <c r="J335" t="str">
        <f>TEXT(Table1_1[[#This Row],[Order Date]],"[$-en-US]mmm")</f>
        <v>Nov</v>
      </c>
    </row>
    <row r="336" spans="1:10" x14ac:dyDescent="0.3">
      <c r="A336" t="s">
        <v>361</v>
      </c>
      <c r="B336" s="2">
        <v>45480</v>
      </c>
      <c r="C336" t="s">
        <v>1277</v>
      </c>
      <c r="D336" t="s">
        <v>1289</v>
      </c>
      <c r="E336">
        <v>2</v>
      </c>
      <c r="F336" s="3">
        <v>833</v>
      </c>
      <c r="G336" s="3">
        <v>1666</v>
      </c>
      <c r="H336" t="s">
        <v>1316</v>
      </c>
      <c r="I336">
        <f>MONTH(Table1_1[[#This Row],[Order Date]])</f>
        <v>7</v>
      </c>
      <c r="J336" t="str">
        <f>TEXT(Table1_1[[#This Row],[Order Date]],"[$-en-US]mmm")</f>
        <v>Jul</v>
      </c>
    </row>
    <row r="337" spans="1:10" x14ac:dyDescent="0.3">
      <c r="A337" t="s">
        <v>362</v>
      </c>
      <c r="B337" s="2">
        <v>45465</v>
      </c>
      <c r="C337" t="s">
        <v>1275</v>
      </c>
      <c r="D337" t="s">
        <v>1289</v>
      </c>
      <c r="E337">
        <v>8</v>
      </c>
      <c r="F337" s="3">
        <v>410</v>
      </c>
      <c r="G337" s="3">
        <v>3280</v>
      </c>
      <c r="H337" t="s">
        <v>1313</v>
      </c>
      <c r="I337">
        <f>MONTH(Table1_1[[#This Row],[Order Date]])</f>
        <v>6</v>
      </c>
      <c r="J337" t="str">
        <f>TEXT(Table1_1[[#This Row],[Order Date]],"[$-en-US]mmm")</f>
        <v>Jun</v>
      </c>
    </row>
    <row r="338" spans="1:10" x14ac:dyDescent="0.3">
      <c r="A338" t="s">
        <v>363</v>
      </c>
      <c r="B338" s="2">
        <v>45557</v>
      </c>
      <c r="C338" t="s">
        <v>1282</v>
      </c>
      <c r="D338" t="s">
        <v>1290</v>
      </c>
      <c r="E338">
        <v>8</v>
      </c>
      <c r="F338" s="3">
        <v>391</v>
      </c>
      <c r="G338" s="3">
        <v>3128</v>
      </c>
      <c r="H338" t="s">
        <v>1315</v>
      </c>
      <c r="I338">
        <f>MONTH(Table1_1[[#This Row],[Order Date]])</f>
        <v>9</v>
      </c>
      <c r="J338" t="str">
        <f>TEXT(Table1_1[[#This Row],[Order Date]],"[$-en-US]mmm")</f>
        <v>Sep</v>
      </c>
    </row>
    <row r="339" spans="1:10" x14ac:dyDescent="0.3">
      <c r="A339" t="s">
        <v>364</v>
      </c>
      <c r="B339" s="2">
        <v>45512</v>
      </c>
      <c r="C339" t="s">
        <v>1273</v>
      </c>
      <c r="D339" t="s">
        <v>1289</v>
      </c>
      <c r="E339">
        <v>7</v>
      </c>
      <c r="F339" s="3">
        <v>95</v>
      </c>
      <c r="G339" s="3">
        <v>665</v>
      </c>
      <c r="H339" t="s">
        <v>1313</v>
      </c>
      <c r="I339">
        <f>MONTH(Table1_1[[#This Row],[Order Date]])</f>
        <v>8</v>
      </c>
      <c r="J339" t="str">
        <f>TEXT(Table1_1[[#This Row],[Order Date]],"[$-en-US]mmm")</f>
        <v>Aug</v>
      </c>
    </row>
    <row r="340" spans="1:10" x14ac:dyDescent="0.3">
      <c r="A340" t="s">
        <v>365</v>
      </c>
      <c r="B340" s="2">
        <v>45332</v>
      </c>
      <c r="C340" t="s">
        <v>1277</v>
      </c>
      <c r="D340" t="s">
        <v>1289</v>
      </c>
      <c r="E340">
        <v>6</v>
      </c>
      <c r="F340" s="3">
        <v>120</v>
      </c>
      <c r="G340" s="3">
        <v>720</v>
      </c>
      <c r="H340" t="s">
        <v>1315</v>
      </c>
      <c r="I340">
        <f>MONTH(Table1_1[[#This Row],[Order Date]])</f>
        <v>2</v>
      </c>
      <c r="J340" t="str">
        <f>TEXT(Table1_1[[#This Row],[Order Date]],"[$-en-US]mmm")</f>
        <v>Feb</v>
      </c>
    </row>
    <row r="341" spans="1:10" x14ac:dyDescent="0.3">
      <c r="A341" t="s">
        <v>366</v>
      </c>
      <c r="B341" s="2">
        <v>45600</v>
      </c>
      <c r="C341" t="s">
        <v>1277</v>
      </c>
      <c r="D341" t="s">
        <v>1289</v>
      </c>
      <c r="E341">
        <v>5</v>
      </c>
      <c r="F341" s="3">
        <v>471</v>
      </c>
      <c r="G341" s="3">
        <v>2355</v>
      </c>
      <c r="H341" t="s">
        <v>1316</v>
      </c>
      <c r="I341">
        <f>MONTH(Table1_1[[#This Row],[Order Date]])</f>
        <v>11</v>
      </c>
      <c r="J341" t="str">
        <f>TEXT(Table1_1[[#This Row],[Order Date]],"[$-en-US]mmm")</f>
        <v>Nov</v>
      </c>
    </row>
    <row r="342" spans="1:10" x14ac:dyDescent="0.3">
      <c r="A342" t="s">
        <v>367</v>
      </c>
      <c r="B342" s="2">
        <v>45520</v>
      </c>
      <c r="C342" t="s">
        <v>1279</v>
      </c>
      <c r="D342" t="s">
        <v>1289</v>
      </c>
      <c r="E342">
        <v>8</v>
      </c>
      <c r="F342" s="3">
        <v>374</v>
      </c>
      <c r="G342" s="3">
        <v>2992</v>
      </c>
      <c r="H342" t="s">
        <v>1314</v>
      </c>
      <c r="I342">
        <f>MONTH(Table1_1[[#This Row],[Order Date]])</f>
        <v>8</v>
      </c>
      <c r="J342" t="str">
        <f>TEXT(Table1_1[[#This Row],[Order Date]],"[$-en-US]mmm")</f>
        <v>Aug</v>
      </c>
    </row>
    <row r="343" spans="1:10" x14ac:dyDescent="0.3">
      <c r="A343" t="s">
        <v>368</v>
      </c>
      <c r="B343" s="2">
        <v>45432</v>
      </c>
      <c r="C343" t="s">
        <v>1280</v>
      </c>
      <c r="D343" t="s">
        <v>1290</v>
      </c>
      <c r="E343">
        <v>10</v>
      </c>
      <c r="F343" s="3">
        <v>460</v>
      </c>
      <c r="G343" s="3">
        <v>4600</v>
      </c>
      <c r="H343" t="s">
        <v>1314</v>
      </c>
      <c r="I343">
        <f>MONTH(Table1_1[[#This Row],[Order Date]])</f>
        <v>5</v>
      </c>
      <c r="J343" t="str">
        <f>TEXT(Table1_1[[#This Row],[Order Date]],"[$-en-US]mmm")</f>
        <v>May</v>
      </c>
    </row>
    <row r="344" spans="1:10" x14ac:dyDescent="0.3">
      <c r="A344" t="s">
        <v>369</v>
      </c>
      <c r="B344" s="2">
        <v>45554</v>
      </c>
      <c r="C344" t="s">
        <v>1273</v>
      </c>
      <c r="D344" t="s">
        <v>1289</v>
      </c>
      <c r="E344">
        <v>7</v>
      </c>
      <c r="F344" s="3">
        <v>387</v>
      </c>
      <c r="G344" s="3">
        <v>2709</v>
      </c>
      <c r="H344" t="s">
        <v>1313</v>
      </c>
      <c r="I344">
        <f>MONTH(Table1_1[[#This Row],[Order Date]])</f>
        <v>9</v>
      </c>
      <c r="J344" t="str">
        <f>TEXT(Table1_1[[#This Row],[Order Date]],"[$-en-US]mmm")</f>
        <v>Sep</v>
      </c>
    </row>
    <row r="345" spans="1:10" x14ac:dyDescent="0.3">
      <c r="A345" t="s">
        <v>370</v>
      </c>
      <c r="B345" s="2">
        <v>45603</v>
      </c>
      <c r="C345" t="s">
        <v>1276</v>
      </c>
      <c r="D345" t="s">
        <v>1290</v>
      </c>
      <c r="E345">
        <v>3</v>
      </c>
      <c r="F345" s="3">
        <v>884</v>
      </c>
      <c r="G345" s="3">
        <v>2652</v>
      </c>
      <c r="H345" t="s">
        <v>1316</v>
      </c>
      <c r="I345">
        <f>MONTH(Table1_1[[#This Row],[Order Date]])</f>
        <v>11</v>
      </c>
      <c r="J345" t="str">
        <f>TEXT(Table1_1[[#This Row],[Order Date]],"[$-en-US]mmm")</f>
        <v>Nov</v>
      </c>
    </row>
    <row r="346" spans="1:10" x14ac:dyDescent="0.3">
      <c r="A346" t="s">
        <v>371</v>
      </c>
      <c r="B346" s="2">
        <v>45412</v>
      </c>
      <c r="C346" t="s">
        <v>1276</v>
      </c>
      <c r="D346" t="s">
        <v>1290</v>
      </c>
      <c r="E346">
        <v>3</v>
      </c>
      <c r="F346" s="3">
        <v>83</v>
      </c>
      <c r="G346" s="3">
        <v>249</v>
      </c>
      <c r="H346" t="s">
        <v>1315</v>
      </c>
      <c r="I346">
        <f>MONTH(Table1_1[[#This Row],[Order Date]])</f>
        <v>4</v>
      </c>
      <c r="J346" t="str">
        <f>TEXT(Table1_1[[#This Row],[Order Date]],"[$-en-US]mmm")</f>
        <v>Apr</v>
      </c>
    </row>
    <row r="347" spans="1:10" x14ac:dyDescent="0.3">
      <c r="A347" t="s">
        <v>372</v>
      </c>
      <c r="B347" s="2">
        <v>45308</v>
      </c>
      <c r="C347" t="s">
        <v>1280</v>
      </c>
      <c r="D347" t="s">
        <v>1290</v>
      </c>
      <c r="E347">
        <v>7</v>
      </c>
      <c r="F347" s="3">
        <v>595</v>
      </c>
      <c r="G347" s="3">
        <v>4165</v>
      </c>
      <c r="H347" t="s">
        <v>1313</v>
      </c>
      <c r="I347">
        <f>MONTH(Table1_1[[#This Row],[Order Date]])</f>
        <v>1</v>
      </c>
      <c r="J347" t="str">
        <f>TEXT(Table1_1[[#This Row],[Order Date]],"[$-en-US]mmm")</f>
        <v>Jan</v>
      </c>
    </row>
    <row r="348" spans="1:10" x14ac:dyDescent="0.3">
      <c r="A348" t="s">
        <v>373</v>
      </c>
      <c r="B348" s="2">
        <v>45519</v>
      </c>
      <c r="C348" t="s">
        <v>1282</v>
      </c>
      <c r="D348" t="s">
        <v>1290</v>
      </c>
      <c r="E348">
        <v>6</v>
      </c>
      <c r="F348" s="3">
        <v>395</v>
      </c>
      <c r="G348" s="3">
        <v>2370</v>
      </c>
      <c r="H348" t="s">
        <v>1314</v>
      </c>
      <c r="I348">
        <f>MONTH(Table1_1[[#This Row],[Order Date]])</f>
        <v>8</v>
      </c>
      <c r="J348" t="str">
        <f>TEXT(Table1_1[[#This Row],[Order Date]],"[$-en-US]mmm")</f>
        <v>Aug</v>
      </c>
    </row>
    <row r="349" spans="1:10" x14ac:dyDescent="0.3">
      <c r="A349" t="s">
        <v>374</v>
      </c>
      <c r="B349" s="2">
        <v>45495</v>
      </c>
      <c r="C349" t="s">
        <v>1279</v>
      </c>
      <c r="D349" t="s">
        <v>1289</v>
      </c>
      <c r="E349">
        <v>9</v>
      </c>
      <c r="F349" s="3">
        <v>390</v>
      </c>
      <c r="G349" s="3">
        <v>3510</v>
      </c>
      <c r="H349" t="s">
        <v>1315</v>
      </c>
      <c r="I349">
        <f>MONTH(Table1_1[[#This Row],[Order Date]])</f>
        <v>7</v>
      </c>
      <c r="J349" t="str">
        <f>TEXT(Table1_1[[#This Row],[Order Date]],"[$-en-US]mmm")</f>
        <v>Jul</v>
      </c>
    </row>
    <row r="350" spans="1:10" x14ac:dyDescent="0.3">
      <c r="A350" t="s">
        <v>375</v>
      </c>
      <c r="B350" s="2">
        <v>45305</v>
      </c>
      <c r="C350" t="s">
        <v>1277</v>
      </c>
      <c r="D350" t="s">
        <v>1289</v>
      </c>
      <c r="E350">
        <v>4</v>
      </c>
      <c r="F350" s="3">
        <v>131</v>
      </c>
      <c r="G350" s="3">
        <v>524</v>
      </c>
      <c r="H350" t="s">
        <v>1313</v>
      </c>
      <c r="I350">
        <f>MONTH(Table1_1[[#This Row],[Order Date]])</f>
        <v>1</v>
      </c>
      <c r="J350" t="str">
        <f>TEXT(Table1_1[[#This Row],[Order Date]],"[$-en-US]mmm")</f>
        <v>Jan</v>
      </c>
    </row>
    <row r="351" spans="1:10" x14ac:dyDescent="0.3">
      <c r="A351" t="s">
        <v>376</v>
      </c>
      <c r="B351" s="2">
        <v>45579</v>
      </c>
      <c r="C351" t="s">
        <v>1282</v>
      </c>
      <c r="D351" t="s">
        <v>1290</v>
      </c>
      <c r="E351">
        <v>9</v>
      </c>
      <c r="F351" s="3">
        <v>411</v>
      </c>
      <c r="G351" s="3">
        <v>3699</v>
      </c>
      <c r="H351" t="s">
        <v>1314</v>
      </c>
      <c r="I351">
        <f>MONTH(Table1_1[[#This Row],[Order Date]])</f>
        <v>10</v>
      </c>
      <c r="J351" t="str">
        <f>TEXT(Table1_1[[#This Row],[Order Date]],"[$-en-US]mmm")</f>
        <v>Oct</v>
      </c>
    </row>
    <row r="352" spans="1:10" x14ac:dyDescent="0.3">
      <c r="A352" t="s">
        <v>377</v>
      </c>
      <c r="B352" s="2">
        <v>45520</v>
      </c>
      <c r="C352" t="s">
        <v>1277</v>
      </c>
      <c r="D352" t="s">
        <v>1289</v>
      </c>
      <c r="E352">
        <v>5</v>
      </c>
      <c r="F352" s="3">
        <v>735</v>
      </c>
      <c r="G352" s="3">
        <v>3675</v>
      </c>
      <c r="H352" t="s">
        <v>1313</v>
      </c>
      <c r="I352">
        <f>MONTH(Table1_1[[#This Row],[Order Date]])</f>
        <v>8</v>
      </c>
      <c r="J352" t="str">
        <f>TEXT(Table1_1[[#This Row],[Order Date]],"[$-en-US]mmm")</f>
        <v>Aug</v>
      </c>
    </row>
    <row r="353" spans="1:10" x14ac:dyDescent="0.3">
      <c r="A353" t="s">
        <v>378</v>
      </c>
      <c r="B353" s="2">
        <v>45354</v>
      </c>
      <c r="C353" t="s">
        <v>1277</v>
      </c>
      <c r="D353" t="s">
        <v>1289</v>
      </c>
      <c r="E353">
        <v>8</v>
      </c>
      <c r="F353" s="3">
        <v>219</v>
      </c>
      <c r="G353" s="3">
        <v>1752</v>
      </c>
      <c r="H353" t="s">
        <v>1313</v>
      </c>
      <c r="I353">
        <f>MONTH(Table1_1[[#This Row],[Order Date]])</f>
        <v>3</v>
      </c>
      <c r="J353" t="str">
        <f>TEXT(Table1_1[[#This Row],[Order Date]],"[$-en-US]mmm")</f>
        <v>Mar</v>
      </c>
    </row>
    <row r="354" spans="1:10" x14ac:dyDescent="0.3">
      <c r="A354" t="s">
        <v>379</v>
      </c>
      <c r="B354" s="2">
        <v>45519</v>
      </c>
      <c r="C354" t="s">
        <v>1273</v>
      </c>
      <c r="D354" t="s">
        <v>1289</v>
      </c>
      <c r="E354">
        <v>8</v>
      </c>
      <c r="F354" s="3">
        <v>191</v>
      </c>
      <c r="G354" s="3">
        <v>1528</v>
      </c>
      <c r="H354" t="s">
        <v>1314</v>
      </c>
      <c r="I354">
        <f>MONTH(Table1_1[[#This Row],[Order Date]])</f>
        <v>8</v>
      </c>
      <c r="J354" t="str">
        <f>TEXT(Table1_1[[#This Row],[Order Date]],"[$-en-US]mmm")</f>
        <v>Aug</v>
      </c>
    </row>
    <row r="355" spans="1:10" x14ac:dyDescent="0.3">
      <c r="A355" t="s">
        <v>380</v>
      </c>
      <c r="B355" s="2">
        <v>45325</v>
      </c>
      <c r="C355" t="s">
        <v>1280</v>
      </c>
      <c r="D355" t="s">
        <v>1290</v>
      </c>
      <c r="E355">
        <v>6</v>
      </c>
      <c r="F355" s="3">
        <v>741</v>
      </c>
      <c r="G355" s="3">
        <v>4446</v>
      </c>
      <c r="H355" t="s">
        <v>1315</v>
      </c>
      <c r="I355">
        <f>MONTH(Table1_1[[#This Row],[Order Date]])</f>
        <v>2</v>
      </c>
      <c r="J355" t="str">
        <f>TEXT(Table1_1[[#This Row],[Order Date]],"[$-en-US]mmm")</f>
        <v>Feb</v>
      </c>
    </row>
    <row r="356" spans="1:10" x14ac:dyDescent="0.3">
      <c r="A356" t="s">
        <v>381</v>
      </c>
      <c r="B356" s="2">
        <v>45655</v>
      </c>
      <c r="C356" t="s">
        <v>1277</v>
      </c>
      <c r="D356" t="s">
        <v>1289</v>
      </c>
      <c r="E356">
        <v>3</v>
      </c>
      <c r="F356" s="3">
        <v>743</v>
      </c>
      <c r="G356" s="3">
        <v>2229</v>
      </c>
      <c r="H356" t="s">
        <v>1313</v>
      </c>
      <c r="I356">
        <f>MONTH(Table1_1[[#This Row],[Order Date]])</f>
        <v>12</v>
      </c>
      <c r="J356" t="str">
        <f>TEXT(Table1_1[[#This Row],[Order Date]],"[$-en-US]mmm")</f>
        <v>Dec</v>
      </c>
    </row>
    <row r="357" spans="1:10" x14ac:dyDescent="0.3">
      <c r="A357" t="s">
        <v>382</v>
      </c>
      <c r="B357" s="2">
        <v>45354</v>
      </c>
      <c r="C357" t="s">
        <v>1280</v>
      </c>
      <c r="D357" t="s">
        <v>1290</v>
      </c>
      <c r="E357">
        <v>9</v>
      </c>
      <c r="F357" s="3">
        <v>244</v>
      </c>
      <c r="G357" s="3">
        <v>2196</v>
      </c>
      <c r="H357" t="s">
        <v>1313</v>
      </c>
      <c r="I357">
        <f>MONTH(Table1_1[[#This Row],[Order Date]])</f>
        <v>3</v>
      </c>
      <c r="J357" t="str">
        <f>TEXT(Table1_1[[#This Row],[Order Date]],"[$-en-US]mmm")</f>
        <v>Mar</v>
      </c>
    </row>
    <row r="358" spans="1:10" x14ac:dyDescent="0.3">
      <c r="A358" t="s">
        <v>383</v>
      </c>
      <c r="B358" s="2">
        <v>45544</v>
      </c>
      <c r="C358" t="s">
        <v>1279</v>
      </c>
      <c r="D358" t="s">
        <v>1289</v>
      </c>
      <c r="E358">
        <v>4</v>
      </c>
      <c r="F358" s="3">
        <v>824</v>
      </c>
      <c r="G358" s="3">
        <v>3296</v>
      </c>
      <c r="H358" t="s">
        <v>1314</v>
      </c>
      <c r="I358">
        <f>MONTH(Table1_1[[#This Row],[Order Date]])</f>
        <v>9</v>
      </c>
      <c r="J358" t="str">
        <f>TEXT(Table1_1[[#This Row],[Order Date]],"[$-en-US]mmm")</f>
        <v>Sep</v>
      </c>
    </row>
    <row r="359" spans="1:10" x14ac:dyDescent="0.3">
      <c r="A359" t="s">
        <v>384</v>
      </c>
      <c r="B359" s="2">
        <v>45480</v>
      </c>
      <c r="C359" t="s">
        <v>1280</v>
      </c>
      <c r="D359" t="s">
        <v>1290</v>
      </c>
      <c r="E359">
        <v>9</v>
      </c>
      <c r="F359" s="3">
        <v>601</v>
      </c>
      <c r="G359" s="3">
        <v>5409</v>
      </c>
      <c r="H359" t="s">
        <v>1316</v>
      </c>
      <c r="I359">
        <f>MONTH(Table1_1[[#This Row],[Order Date]])</f>
        <v>7</v>
      </c>
      <c r="J359" t="str">
        <f>TEXT(Table1_1[[#This Row],[Order Date]],"[$-en-US]mmm")</f>
        <v>Jul</v>
      </c>
    </row>
    <row r="360" spans="1:10" x14ac:dyDescent="0.3">
      <c r="A360" t="s">
        <v>385</v>
      </c>
      <c r="B360" s="2">
        <v>45325</v>
      </c>
      <c r="C360" t="s">
        <v>1279</v>
      </c>
      <c r="D360" t="s">
        <v>1289</v>
      </c>
      <c r="E360">
        <v>10</v>
      </c>
      <c r="F360" s="3">
        <v>103</v>
      </c>
      <c r="G360" s="3">
        <v>1030</v>
      </c>
      <c r="H360" t="s">
        <v>1315</v>
      </c>
      <c r="I360">
        <f>MONTH(Table1_1[[#This Row],[Order Date]])</f>
        <v>2</v>
      </c>
      <c r="J360" t="str">
        <f>TEXT(Table1_1[[#This Row],[Order Date]],"[$-en-US]mmm")</f>
        <v>Feb</v>
      </c>
    </row>
    <row r="361" spans="1:10" x14ac:dyDescent="0.3">
      <c r="A361" t="s">
        <v>386</v>
      </c>
      <c r="B361" s="2">
        <v>45502</v>
      </c>
      <c r="C361" t="s">
        <v>1275</v>
      </c>
      <c r="D361" t="s">
        <v>1289</v>
      </c>
      <c r="E361">
        <v>8</v>
      </c>
      <c r="F361" s="3">
        <v>553</v>
      </c>
      <c r="G361" s="3">
        <v>4424</v>
      </c>
      <c r="H361" t="s">
        <v>1316</v>
      </c>
      <c r="I361">
        <f>MONTH(Table1_1[[#This Row],[Order Date]])</f>
        <v>7</v>
      </c>
      <c r="J361" t="str">
        <f>TEXT(Table1_1[[#This Row],[Order Date]],"[$-en-US]mmm")</f>
        <v>Jul</v>
      </c>
    </row>
    <row r="362" spans="1:10" x14ac:dyDescent="0.3">
      <c r="A362" t="s">
        <v>387</v>
      </c>
      <c r="B362" s="2">
        <v>45620</v>
      </c>
      <c r="C362" t="s">
        <v>1273</v>
      </c>
      <c r="D362" t="s">
        <v>1289</v>
      </c>
      <c r="E362">
        <v>3</v>
      </c>
      <c r="F362" s="3">
        <v>339</v>
      </c>
      <c r="G362" s="3">
        <v>1017</v>
      </c>
      <c r="H362" t="s">
        <v>1314</v>
      </c>
      <c r="I362">
        <f>MONTH(Table1_1[[#This Row],[Order Date]])</f>
        <v>11</v>
      </c>
      <c r="J362" t="str">
        <f>TEXT(Table1_1[[#This Row],[Order Date]],"[$-en-US]mmm")</f>
        <v>Nov</v>
      </c>
    </row>
    <row r="363" spans="1:10" x14ac:dyDescent="0.3">
      <c r="A363" t="s">
        <v>388</v>
      </c>
      <c r="B363" s="2">
        <v>45556</v>
      </c>
      <c r="C363" t="s">
        <v>1282</v>
      </c>
      <c r="D363" t="s">
        <v>1290</v>
      </c>
      <c r="E363">
        <v>8</v>
      </c>
      <c r="F363" s="3">
        <v>711</v>
      </c>
      <c r="G363" s="3">
        <v>5688</v>
      </c>
      <c r="H363" t="s">
        <v>1315</v>
      </c>
      <c r="I363">
        <f>MONTH(Table1_1[[#This Row],[Order Date]])</f>
        <v>9</v>
      </c>
      <c r="J363" t="str">
        <f>TEXT(Table1_1[[#This Row],[Order Date]],"[$-en-US]mmm")</f>
        <v>Sep</v>
      </c>
    </row>
    <row r="364" spans="1:10" x14ac:dyDescent="0.3">
      <c r="A364" t="s">
        <v>389</v>
      </c>
      <c r="B364" s="2">
        <v>45592</v>
      </c>
      <c r="C364" t="s">
        <v>1279</v>
      </c>
      <c r="D364" t="s">
        <v>1289</v>
      </c>
      <c r="E364">
        <v>9</v>
      </c>
      <c r="F364" s="3">
        <v>670</v>
      </c>
      <c r="G364" s="3">
        <v>6030</v>
      </c>
      <c r="H364" t="s">
        <v>1313</v>
      </c>
      <c r="I364">
        <f>MONTH(Table1_1[[#This Row],[Order Date]])</f>
        <v>10</v>
      </c>
      <c r="J364" t="str">
        <f>TEXT(Table1_1[[#This Row],[Order Date]],"[$-en-US]mmm")</f>
        <v>Oct</v>
      </c>
    </row>
    <row r="365" spans="1:10" x14ac:dyDescent="0.3">
      <c r="A365" t="s">
        <v>390</v>
      </c>
      <c r="B365" s="2">
        <v>45320</v>
      </c>
      <c r="C365" t="s">
        <v>1279</v>
      </c>
      <c r="D365" t="s">
        <v>1289</v>
      </c>
      <c r="E365">
        <v>7</v>
      </c>
      <c r="F365" s="3">
        <v>529</v>
      </c>
      <c r="G365" s="3">
        <v>3703</v>
      </c>
      <c r="H365" t="s">
        <v>1314</v>
      </c>
      <c r="I365">
        <f>MONTH(Table1_1[[#This Row],[Order Date]])</f>
        <v>1</v>
      </c>
      <c r="J365" t="str">
        <f>TEXT(Table1_1[[#This Row],[Order Date]],"[$-en-US]mmm")</f>
        <v>Jan</v>
      </c>
    </row>
    <row r="366" spans="1:10" x14ac:dyDescent="0.3">
      <c r="A366" t="s">
        <v>391</v>
      </c>
      <c r="B366" s="2">
        <v>45374</v>
      </c>
      <c r="C366" t="s">
        <v>1279</v>
      </c>
      <c r="D366" t="s">
        <v>1289</v>
      </c>
      <c r="E366">
        <v>5</v>
      </c>
      <c r="F366" s="3">
        <v>183</v>
      </c>
      <c r="G366" s="3">
        <v>915</v>
      </c>
      <c r="H366" t="s">
        <v>1315</v>
      </c>
      <c r="I366">
        <f>MONTH(Table1_1[[#This Row],[Order Date]])</f>
        <v>3</v>
      </c>
      <c r="J366" t="str">
        <f>TEXT(Table1_1[[#This Row],[Order Date]],"[$-en-US]mmm")</f>
        <v>Mar</v>
      </c>
    </row>
    <row r="367" spans="1:10" x14ac:dyDescent="0.3">
      <c r="A367" t="s">
        <v>392</v>
      </c>
      <c r="B367" s="2">
        <v>45437</v>
      </c>
      <c r="C367" t="s">
        <v>1274</v>
      </c>
      <c r="D367" t="s">
        <v>1290</v>
      </c>
      <c r="E367">
        <v>6</v>
      </c>
      <c r="F367" s="3">
        <v>546</v>
      </c>
      <c r="G367" s="3">
        <v>3276</v>
      </c>
      <c r="H367" t="s">
        <v>1314</v>
      </c>
      <c r="I367">
        <f>MONTH(Table1_1[[#This Row],[Order Date]])</f>
        <v>5</v>
      </c>
      <c r="J367" t="str">
        <f>TEXT(Table1_1[[#This Row],[Order Date]],"[$-en-US]mmm")</f>
        <v>May</v>
      </c>
    </row>
    <row r="368" spans="1:10" x14ac:dyDescent="0.3">
      <c r="A368" t="s">
        <v>393</v>
      </c>
      <c r="B368" s="2">
        <v>45574</v>
      </c>
      <c r="C368" t="s">
        <v>1277</v>
      </c>
      <c r="D368" t="s">
        <v>1289</v>
      </c>
      <c r="E368">
        <v>4</v>
      </c>
      <c r="F368" s="3">
        <v>665</v>
      </c>
      <c r="G368" s="3">
        <v>2660</v>
      </c>
      <c r="H368" t="s">
        <v>1315</v>
      </c>
      <c r="I368">
        <f>MONTH(Table1_1[[#This Row],[Order Date]])</f>
        <v>10</v>
      </c>
      <c r="J368" t="str">
        <f>TEXT(Table1_1[[#This Row],[Order Date]],"[$-en-US]mmm")</f>
        <v>Oct</v>
      </c>
    </row>
    <row r="369" spans="1:10" x14ac:dyDescent="0.3">
      <c r="A369" t="s">
        <v>394</v>
      </c>
      <c r="B369" s="2">
        <v>45565</v>
      </c>
      <c r="C369" t="s">
        <v>1279</v>
      </c>
      <c r="D369" t="s">
        <v>1289</v>
      </c>
      <c r="E369">
        <v>5</v>
      </c>
      <c r="F369" s="3">
        <v>644</v>
      </c>
      <c r="G369" s="3">
        <v>3220</v>
      </c>
      <c r="H369" t="s">
        <v>1314</v>
      </c>
      <c r="I369">
        <f>MONTH(Table1_1[[#This Row],[Order Date]])</f>
        <v>9</v>
      </c>
      <c r="J369" t="str">
        <f>TEXT(Table1_1[[#This Row],[Order Date]],"[$-en-US]mmm")</f>
        <v>Sep</v>
      </c>
    </row>
    <row r="370" spans="1:10" x14ac:dyDescent="0.3">
      <c r="A370" t="s">
        <v>395</v>
      </c>
      <c r="B370" s="2">
        <v>45370</v>
      </c>
      <c r="C370" t="s">
        <v>1279</v>
      </c>
      <c r="D370" t="s">
        <v>1289</v>
      </c>
      <c r="E370">
        <v>10</v>
      </c>
      <c r="F370" s="3">
        <v>609</v>
      </c>
      <c r="G370" s="3">
        <v>6090</v>
      </c>
      <c r="H370" t="s">
        <v>1313</v>
      </c>
      <c r="I370">
        <f>MONTH(Table1_1[[#This Row],[Order Date]])</f>
        <v>3</v>
      </c>
      <c r="J370" t="str">
        <f>TEXT(Table1_1[[#This Row],[Order Date]],"[$-en-US]mmm")</f>
        <v>Mar</v>
      </c>
    </row>
    <row r="371" spans="1:10" x14ac:dyDescent="0.3">
      <c r="A371" t="s">
        <v>396</v>
      </c>
      <c r="B371" s="2">
        <v>45306</v>
      </c>
      <c r="C371" t="s">
        <v>1280</v>
      </c>
      <c r="D371" t="s">
        <v>1290</v>
      </c>
      <c r="E371">
        <v>10</v>
      </c>
      <c r="F371" s="3">
        <v>57</v>
      </c>
      <c r="G371" s="3">
        <v>570</v>
      </c>
      <c r="H371" t="s">
        <v>1314</v>
      </c>
      <c r="I371">
        <f>MONTH(Table1_1[[#This Row],[Order Date]])</f>
        <v>1</v>
      </c>
      <c r="J371" t="str">
        <f>TEXT(Table1_1[[#This Row],[Order Date]],"[$-en-US]mmm")</f>
        <v>Jan</v>
      </c>
    </row>
    <row r="372" spans="1:10" x14ac:dyDescent="0.3">
      <c r="A372" t="s">
        <v>397</v>
      </c>
      <c r="B372" s="2">
        <v>45625</v>
      </c>
      <c r="C372" t="s">
        <v>1276</v>
      </c>
      <c r="D372" t="s">
        <v>1290</v>
      </c>
      <c r="E372">
        <v>10</v>
      </c>
      <c r="F372" s="3">
        <v>286</v>
      </c>
      <c r="G372" s="3">
        <v>2860</v>
      </c>
      <c r="H372" t="s">
        <v>1313</v>
      </c>
      <c r="I372">
        <f>MONTH(Table1_1[[#This Row],[Order Date]])</f>
        <v>11</v>
      </c>
      <c r="J372" t="str">
        <f>TEXT(Table1_1[[#This Row],[Order Date]],"[$-en-US]mmm")</f>
        <v>Nov</v>
      </c>
    </row>
    <row r="373" spans="1:10" x14ac:dyDescent="0.3">
      <c r="A373" t="s">
        <v>398</v>
      </c>
      <c r="B373" s="2">
        <v>45307</v>
      </c>
      <c r="C373" t="s">
        <v>1275</v>
      </c>
      <c r="D373" t="s">
        <v>1289</v>
      </c>
      <c r="E373">
        <v>10</v>
      </c>
      <c r="F373" s="3">
        <v>669</v>
      </c>
      <c r="G373" s="3">
        <v>6690</v>
      </c>
      <c r="H373" t="s">
        <v>1316</v>
      </c>
      <c r="I373">
        <f>MONTH(Table1_1[[#This Row],[Order Date]])</f>
        <v>1</v>
      </c>
      <c r="J373" t="str">
        <f>TEXT(Table1_1[[#This Row],[Order Date]],"[$-en-US]mmm")</f>
        <v>Jan</v>
      </c>
    </row>
    <row r="374" spans="1:10" x14ac:dyDescent="0.3">
      <c r="A374" t="s">
        <v>399</v>
      </c>
      <c r="B374" s="2">
        <v>45417</v>
      </c>
      <c r="C374" t="s">
        <v>1277</v>
      </c>
      <c r="D374" t="s">
        <v>1289</v>
      </c>
      <c r="E374">
        <v>5</v>
      </c>
      <c r="F374" s="3">
        <v>509</v>
      </c>
      <c r="G374" s="3">
        <v>2545</v>
      </c>
      <c r="H374" t="s">
        <v>1316</v>
      </c>
      <c r="I374">
        <f>MONTH(Table1_1[[#This Row],[Order Date]])</f>
        <v>5</v>
      </c>
      <c r="J374" t="str">
        <f>TEXT(Table1_1[[#This Row],[Order Date]],"[$-en-US]mmm")</f>
        <v>May</v>
      </c>
    </row>
    <row r="375" spans="1:10" x14ac:dyDescent="0.3">
      <c r="A375" t="s">
        <v>400</v>
      </c>
      <c r="B375" s="2">
        <v>45644</v>
      </c>
      <c r="C375" t="s">
        <v>1277</v>
      </c>
      <c r="D375" t="s">
        <v>1289</v>
      </c>
      <c r="E375">
        <v>8</v>
      </c>
      <c r="F375" s="3">
        <v>89</v>
      </c>
      <c r="G375" s="3">
        <v>712</v>
      </c>
      <c r="H375" t="s">
        <v>1314</v>
      </c>
      <c r="I375">
        <f>MONTH(Table1_1[[#This Row],[Order Date]])</f>
        <v>12</v>
      </c>
      <c r="J375" t="str">
        <f>TEXT(Table1_1[[#This Row],[Order Date]],"[$-en-US]mmm")</f>
        <v>Dec</v>
      </c>
    </row>
    <row r="376" spans="1:10" x14ac:dyDescent="0.3">
      <c r="A376" t="s">
        <v>401</v>
      </c>
      <c r="B376" s="2">
        <v>45539</v>
      </c>
      <c r="C376" t="s">
        <v>1279</v>
      </c>
      <c r="D376" t="s">
        <v>1289</v>
      </c>
      <c r="E376">
        <v>8</v>
      </c>
      <c r="F376" s="3">
        <v>440</v>
      </c>
      <c r="G376" s="3">
        <v>3520</v>
      </c>
      <c r="H376" t="s">
        <v>1316</v>
      </c>
      <c r="I376">
        <f>MONTH(Table1_1[[#This Row],[Order Date]])</f>
        <v>9</v>
      </c>
      <c r="J376" t="str">
        <f>TEXT(Table1_1[[#This Row],[Order Date]],"[$-en-US]mmm")</f>
        <v>Sep</v>
      </c>
    </row>
    <row r="377" spans="1:10" x14ac:dyDescent="0.3">
      <c r="A377" t="s">
        <v>402</v>
      </c>
      <c r="B377" s="2">
        <v>45365</v>
      </c>
      <c r="C377" t="s">
        <v>1274</v>
      </c>
      <c r="D377" t="s">
        <v>1290</v>
      </c>
      <c r="E377">
        <v>6</v>
      </c>
      <c r="F377" s="3">
        <v>636</v>
      </c>
      <c r="G377" s="3">
        <v>3816</v>
      </c>
      <c r="H377" t="s">
        <v>1315</v>
      </c>
      <c r="I377">
        <f>MONTH(Table1_1[[#This Row],[Order Date]])</f>
        <v>3</v>
      </c>
      <c r="J377" t="str">
        <f>TEXT(Table1_1[[#This Row],[Order Date]],"[$-en-US]mmm")</f>
        <v>Mar</v>
      </c>
    </row>
    <row r="378" spans="1:10" x14ac:dyDescent="0.3">
      <c r="A378" t="s">
        <v>403</v>
      </c>
      <c r="B378" s="2">
        <v>45358</v>
      </c>
      <c r="C378" t="s">
        <v>1280</v>
      </c>
      <c r="D378" t="s">
        <v>1290</v>
      </c>
      <c r="E378">
        <v>6</v>
      </c>
      <c r="F378" s="3">
        <v>423</v>
      </c>
      <c r="G378" s="3">
        <v>2538</v>
      </c>
      <c r="H378" t="s">
        <v>1315</v>
      </c>
      <c r="I378">
        <f>MONTH(Table1_1[[#This Row],[Order Date]])</f>
        <v>3</v>
      </c>
      <c r="J378" t="str">
        <f>TEXT(Table1_1[[#This Row],[Order Date]],"[$-en-US]mmm")</f>
        <v>Mar</v>
      </c>
    </row>
    <row r="379" spans="1:10" x14ac:dyDescent="0.3">
      <c r="A379" t="s">
        <v>404</v>
      </c>
      <c r="B379" s="2">
        <v>45530</v>
      </c>
      <c r="C379" t="s">
        <v>1273</v>
      </c>
      <c r="D379" t="s">
        <v>1289</v>
      </c>
      <c r="E379">
        <v>6</v>
      </c>
      <c r="F379" s="3">
        <v>262</v>
      </c>
      <c r="G379" s="3">
        <v>1572</v>
      </c>
      <c r="H379" t="s">
        <v>1314</v>
      </c>
      <c r="I379">
        <f>MONTH(Table1_1[[#This Row],[Order Date]])</f>
        <v>8</v>
      </c>
      <c r="J379" t="str">
        <f>TEXT(Table1_1[[#This Row],[Order Date]],"[$-en-US]mmm")</f>
        <v>Aug</v>
      </c>
    </row>
    <row r="380" spans="1:10" x14ac:dyDescent="0.3">
      <c r="A380" t="s">
        <v>405</v>
      </c>
      <c r="B380" s="2">
        <v>45364</v>
      </c>
      <c r="C380" t="s">
        <v>1277</v>
      </c>
      <c r="D380" t="s">
        <v>1289</v>
      </c>
      <c r="E380">
        <v>8</v>
      </c>
      <c r="F380" s="3">
        <v>268</v>
      </c>
      <c r="G380" s="3">
        <v>2144</v>
      </c>
      <c r="H380" t="s">
        <v>1314</v>
      </c>
      <c r="I380">
        <f>MONTH(Table1_1[[#This Row],[Order Date]])</f>
        <v>3</v>
      </c>
      <c r="J380" t="str">
        <f>TEXT(Table1_1[[#This Row],[Order Date]],"[$-en-US]mmm")</f>
        <v>Mar</v>
      </c>
    </row>
    <row r="381" spans="1:10" x14ac:dyDescent="0.3">
      <c r="A381" t="s">
        <v>406</v>
      </c>
      <c r="B381" s="2">
        <v>45607</v>
      </c>
      <c r="C381" t="s">
        <v>1276</v>
      </c>
      <c r="D381" t="s">
        <v>1290</v>
      </c>
      <c r="E381">
        <v>5</v>
      </c>
      <c r="F381" s="3">
        <v>408</v>
      </c>
      <c r="G381" s="3">
        <v>2040</v>
      </c>
      <c r="H381" t="s">
        <v>1316</v>
      </c>
      <c r="I381">
        <f>MONTH(Table1_1[[#This Row],[Order Date]])</f>
        <v>11</v>
      </c>
      <c r="J381" t="str">
        <f>TEXT(Table1_1[[#This Row],[Order Date]],"[$-en-US]mmm")</f>
        <v>Nov</v>
      </c>
    </row>
    <row r="382" spans="1:10" x14ac:dyDescent="0.3">
      <c r="A382" t="s">
        <v>407</v>
      </c>
      <c r="B382" s="2">
        <v>45459</v>
      </c>
      <c r="C382" t="s">
        <v>1274</v>
      </c>
      <c r="D382" t="s">
        <v>1290</v>
      </c>
      <c r="E382">
        <v>3</v>
      </c>
      <c r="F382" s="3">
        <v>848</v>
      </c>
      <c r="G382" s="3">
        <v>2544</v>
      </c>
      <c r="H382" t="s">
        <v>1315</v>
      </c>
      <c r="I382">
        <f>MONTH(Table1_1[[#This Row],[Order Date]])</f>
        <v>6</v>
      </c>
      <c r="J382" t="str">
        <f>TEXT(Table1_1[[#This Row],[Order Date]],"[$-en-US]mmm")</f>
        <v>Jun</v>
      </c>
    </row>
    <row r="383" spans="1:10" x14ac:dyDescent="0.3">
      <c r="A383" t="s">
        <v>408</v>
      </c>
      <c r="B383" s="2">
        <v>45555</v>
      </c>
      <c r="C383" t="s">
        <v>1274</v>
      </c>
      <c r="D383" t="s">
        <v>1290</v>
      </c>
      <c r="E383">
        <v>3</v>
      </c>
      <c r="F383" s="3">
        <v>525</v>
      </c>
      <c r="G383" s="3">
        <v>1575</v>
      </c>
      <c r="H383" t="s">
        <v>1316</v>
      </c>
      <c r="I383">
        <f>MONTH(Table1_1[[#This Row],[Order Date]])</f>
        <v>9</v>
      </c>
      <c r="J383" t="str">
        <f>TEXT(Table1_1[[#This Row],[Order Date]],"[$-en-US]mmm")</f>
        <v>Sep</v>
      </c>
    </row>
    <row r="384" spans="1:10" x14ac:dyDescent="0.3">
      <c r="A384" t="s">
        <v>409</v>
      </c>
      <c r="B384" s="2">
        <v>45303</v>
      </c>
      <c r="C384" t="s">
        <v>1282</v>
      </c>
      <c r="D384" t="s">
        <v>1290</v>
      </c>
      <c r="E384">
        <v>5</v>
      </c>
      <c r="F384" s="3">
        <v>524</v>
      </c>
      <c r="G384" s="3">
        <v>2620</v>
      </c>
      <c r="H384" t="s">
        <v>1314</v>
      </c>
      <c r="I384">
        <f>MONTH(Table1_1[[#This Row],[Order Date]])</f>
        <v>1</v>
      </c>
      <c r="J384" t="str">
        <f>TEXT(Table1_1[[#This Row],[Order Date]],"[$-en-US]mmm")</f>
        <v>Jan</v>
      </c>
    </row>
    <row r="385" spans="1:10" x14ac:dyDescent="0.3">
      <c r="A385" t="s">
        <v>410</v>
      </c>
      <c r="B385" s="2">
        <v>45415</v>
      </c>
      <c r="C385" t="s">
        <v>1275</v>
      </c>
      <c r="D385" t="s">
        <v>1289</v>
      </c>
      <c r="E385">
        <v>9</v>
      </c>
      <c r="F385" s="3">
        <v>483</v>
      </c>
      <c r="G385" s="3">
        <v>4347</v>
      </c>
      <c r="H385" t="s">
        <v>1313</v>
      </c>
      <c r="I385">
        <f>MONTH(Table1_1[[#This Row],[Order Date]])</f>
        <v>5</v>
      </c>
      <c r="J385" t="str">
        <f>TEXT(Table1_1[[#This Row],[Order Date]],"[$-en-US]mmm")</f>
        <v>May</v>
      </c>
    </row>
    <row r="386" spans="1:10" x14ac:dyDescent="0.3">
      <c r="A386" t="s">
        <v>412</v>
      </c>
      <c r="B386" s="2">
        <v>45296</v>
      </c>
      <c r="C386" t="s">
        <v>1282</v>
      </c>
      <c r="D386" t="s">
        <v>1290</v>
      </c>
      <c r="E386">
        <v>5</v>
      </c>
      <c r="F386" s="3">
        <v>564</v>
      </c>
      <c r="G386" s="3">
        <v>2820</v>
      </c>
      <c r="H386" t="s">
        <v>1314</v>
      </c>
      <c r="I386">
        <f>MONTH(Table1_1[[#This Row],[Order Date]])</f>
        <v>1</v>
      </c>
      <c r="J386" t="str">
        <f>TEXT(Table1_1[[#This Row],[Order Date]],"[$-en-US]mmm")</f>
        <v>Jan</v>
      </c>
    </row>
    <row r="387" spans="1:10" x14ac:dyDescent="0.3">
      <c r="A387" t="s">
        <v>413</v>
      </c>
      <c r="B387" s="2">
        <v>45479</v>
      </c>
      <c r="C387" t="s">
        <v>1275</v>
      </c>
      <c r="D387" t="s">
        <v>1289</v>
      </c>
      <c r="E387">
        <v>3</v>
      </c>
      <c r="F387" s="3">
        <v>285</v>
      </c>
      <c r="G387" s="3">
        <v>855</v>
      </c>
      <c r="H387" t="s">
        <v>1316</v>
      </c>
      <c r="I387">
        <f>MONTH(Table1_1[[#This Row],[Order Date]])</f>
        <v>7</v>
      </c>
      <c r="J387" t="str">
        <f>TEXT(Table1_1[[#This Row],[Order Date]],"[$-en-US]mmm")</f>
        <v>Jul</v>
      </c>
    </row>
    <row r="388" spans="1:10" x14ac:dyDescent="0.3">
      <c r="A388" t="s">
        <v>414</v>
      </c>
      <c r="B388" s="2">
        <v>45318</v>
      </c>
      <c r="C388" t="s">
        <v>1280</v>
      </c>
      <c r="D388" t="s">
        <v>1290</v>
      </c>
      <c r="E388">
        <v>1</v>
      </c>
      <c r="F388" s="3">
        <v>425</v>
      </c>
      <c r="G388" s="3">
        <v>425</v>
      </c>
      <c r="H388" t="s">
        <v>1313</v>
      </c>
      <c r="I388">
        <f>MONTH(Table1_1[[#This Row],[Order Date]])</f>
        <v>1</v>
      </c>
      <c r="J388" t="str">
        <f>TEXT(Table1_1[[#This Row],[Order Date]],"[$-en-US]mmm")</f>
        <v>Jan</v>
      </c>
    </row>
    <row r="389" spans="1:10" x14ac:dyDescent="0.3">
      <c r="A389" t="s">
        <v>415</v>
      </c>
      <c r="B389" s="2">
        <v>45329</v>
      </c>
      <c r="C389" t="s">
        <v>1280</v>
      </c>
      <c r="D389" t="s">
        <v>1290</v>
      </c>
      <c r="E389">
        <v>9</v>
      </c>
      <c r="F389" s="3">
        <v>310</v>
      </c>
      <c r="G389" s="3">
        <v>2790</v>
      </c>
      <c r="H389" t="s">
        <v>1316</v>
      </c>
      <c r="I389">
        <f>MONTH(Table1_1[[#This Row],[Order Date]])</f>
        <v>2</v>
      </c>
      <c r="J389" t="str">
        <f>TEXT(Table1_1[[#This Row],[Order Date]],"[$-en-US]mmm")</f>
        <v>Feb</v>
      </c>
    </row>
    <row r="390" spans="1:10" x14ac:dyDescent="0.3">
      <c r="A390" t="s">
        <v>416</v>
      </c>
      <c r="B390" s="2">
        <v>45611</v>
      </c>
      <c r="C390" t="s">
        <v>1282</v>
      </c>
      <c r="D390" t="s">
        <v>1290</v>
      </c>
      <c r="E390">
        <v>9</v>
      </c>
      <c r="F390" s="3">
        <v>301</v>
      </c>
      <c r="G390" s="3">
        <v>2709</v>
      </c>
      <c r="H390" t="s">
        <v>1314</v>
      </c>
      <c r="I390">
        <f>MONTH(Table1_1[[#This Row],[Order Date]])</f>
        <v>11</v>
      </c>
      <c r="J390" t="str">
        <f>TEXT(Table1_1[[#This Row],[Order Date]],"[$-en-US]mmm")</f>
        <v>Nov</v>
      </c>
    </row>
    <row r="391" spans="1:10" x14ac:dyDescent="0.3">
      <c r="A391" t="s">
        <v>417</v>
      </c>
      <c r="B391" s="2">
        <v>45483</v>
      </c>
      <c r="C391" t="s">
        <v>1279</v>
      </c>
      <c r="D391" t="s">
        <v>1289</v>
      </c>
      <c r="E391">
        <v>2</v>
      </c>
      <c r="F391" s="3">
        <v>418</v>
      </c>
      <c r="G391" s="3">
        <v>836</v>
      </c>
      <c r="H391" t="s">
        <v>1315</v>
      </c>
      <c r="I391">
        <f>MONTH(Table1_1[[#This Row],[Order Date]])</f>
        <v>7</v>
      </c>
      <c r="J391" t="str">
        <f>TEXT(Table1_1[[#This Row],[Order Date]],"[$-en-US]mmm")</f>
        <v>Jul</v>
      </c>
    </row>
    <row r="392" spans="1:10" x14ac:dyDescent="0.3">
      <c r="A392" t="s">
        <v>418</v>
      </c>
      <c r="B392" s="2">
        <v>45600</v>
      </c>
      <c r="C392" t="s">
        <v>1280</v>
      </c>
      <c r="D392" t="s">
        <v>1290</v>
      </c>
      <c r="E392">
        <v>3</v>
      </c>
      <c r="F392" s="3">
        <v>218</v>
      </c>
      <c r="G392" s="3">
        <v>654</v>
      </c>
      <c r="H392" t="s">
        <v>1316</v>
      </c>
      <c r="I392">
        <f>MONTH(Table1_1[[#This Row],[Order Date]])</f>
        <v>11</v>
      </c>
      <c r="J392" t="str">
        <f>TEXT(Table1_1[[#This Row],[Order Date]],"[$-en-US]mmm")</f>
        <v>Nov</v>
      </c>
    </row>
    <row r="393" spans="1:10" x14ac:dyDescent="0.3">
      <c r="A393" t="s">
        <v>419</v>
      </c>
      <c r="B393" s="2">
        <v>45362</v>
      </c>
      <c r="C393" t="s">
        <v>1276</v>
      </c>
      <c r="D393" t="s">
        <v>1290</v>
      </c>
      <c r="E393">
        <v>1</v>
      </c>
      <c r="F393" s="3">
        <v>54</v>
      </c>
      <c r="G393" s="3">
        <v>54</v>
      </c>
      <c r="H393" t="s">
        <v>1315</v>
      </c>
      <c r="I393">
        <f>MONTH(Table1_1[[#This Row],[Order Date]])</f>
        <v>3</v>
      </c>
      <c r="J393" t="str">
        <f>TEXT(Table1_1[[#This Row],[Order Date]],"[$-en-US]mmm")</f>
        <v>Mar</v>
      </c>
    </row>
    <row r="394" spans="1:10" x14ac:dyDescent="0.3">
      <c r="A394" t="s">
        <v>420</v>
      </c>
      <c r="B394" s="2">
        <v>45368</v>
      </c>
      <c r="C394" t="s">
        <v>1282</v>
      </c>
      <c r="D394" t="s">
        <v>1290</v>
      </c>
      <c r="E394">
        <v>9</v>
      </c>
      <c r="F394" s="3">
        <v>482</v>
      </c>
      <c r="G394" s="3">
        <v>4338</v>
      </c>
      <c r="H394" t="s">
        <v>1313</v>
      </c>
      <c r="I394">
        <f>MONTH(Table1_1[[#This Row],[Order Date]])</f>
        <v>3</v>
      </c>
      <c r="J394" t="str">
        <f>TEXT(Table1_1[[#This Row],[Order Date]],"[$-en-US]mmm")</f>
        <v>Mar</v>
      </c>
    </row>
    <row r="395" spans="1:10" x14ac:dyDescent="0.3">
      <c r="A395" t="s">
        <v>421</v>
      </c>
      <c r="B395" s="2">
        <v>45375</v>
      </c>
      <c r="C395" t="s">
        <v>1280</v>
      </c>
      <c r="D395" t="s">
        <v>1290</v>
      </c>
      <c r="E395">
        <v>10</v>
      </c>
      <c r="F395" s="3">
        <v>341</v>
      </c>
      <c r="G395" s="3">
        <v>3410</v>
      </c>
      <c r="H395" t="s">
        <v>1316</v>
      </c>
      <c r="I395">
        <f>MONTH(Table1_1[[#This Row],[Order Date]])</f>
        <v>3</v>
      </c>
      <c r="J395" t="str">
        <f>TEXT(Table1_1[[#This Row],[Order Date]],"[$-en-US]mmm")</f>
        <v>Mar</v>
      </c>
    </row>
    <row r="396" spans="1:10" x14ac:dyDescent="0.3">
      <c r="A396" t="s">
        <v>422</v>
      </c>
      <c r="B396" s="2">
        <v>45551</v>
      </c>
      <c r="C396" t="s">
        <v>1277</v>
      </c>
      <c r="D396" t="s">
        <v>1289</v>
      </c>
      <c r="E396">
        <v>10</v>
      </c>
      <c r="F396" s="3">
        <v>359</v>
      </c>
      <c r="G396" s="3">
        <v>3590</v>
      </c>
      <c r="H396" t="s">
        <v>1316</v>
      </c>
      <c r="I396">
        <f>MONTH(Table1_1[[#This Row],[Order Date]])</f>
        <v>9</v>
      </c>
      <c r="J396" t="str">
        <f>TEXT(Table1_1[[#This Row],[Order Date]],"[$-en-US]mmm")</f>
        <v>Sep</v>
      </c>
    </row>
    <row r="397" spans="1:10" x14ac:dyDescent="0.3">
      <c r="A397" t="s">
        <v>423</v>
      </c>
      <c r="B397" s="2">
        <v>45300</v>
      </c>
      <c r="C397" t="s">
        <v>1277</v>
      </c>
      <c r="D397" t="s">
        <v>1289</v>
      </c>
      <c r="E397">
        <v>8</v>
      </c>
      <c r="F397" s="3">
        <v>850</v>
      </c>
      <c r="G397" s="3">
        <v>6800</v>
      </c>
      <c r="H397" t="s">
        <v>1315</v>
      </c>
      <c r="I397">
        <f>MONTH(Table1_1[[#This Row],[Order Date]])</f>
        <v>1</v>
      </c>
      <c r="J397" t="str">
        <f>TEXT(Table1_1[[#This Row],[Order Date]],"[$-en-US]mmm")</f>
        <v>Jan</v>
      </c>
    </row>
    <row r="398" spans="1:10" x14ac:dyDescent="0.3">
      <c r="A398" t="s">
        <v>424</v>
      </c>
      <c r="B398" s="2">
        <v>45590</v>
      </c>
      <c r="C398" t="s">
        <v>1280</v>
      </c>
      <c r="D398" t="s">
        <v>1290</v>
      </c>
      <c r="E398">
        <v>2</v>
      </c>
      <c r="F398" s="3">
        <v>441</v>
      </c>
      <c r="G398" s="3">
        <v>882</v>
      </c>
      <c r="H398" t="s">
        <v>1315</v>
      </c>
      <c r="I398">
        <f>MONTH(Table1_1[[#This Row],[Order Date]])</f>
        <v>10</v>
      </c>
      <c r="J398" t="str">
        <f>TEXT(Table1_1[[#This Row],[Order Date]],"[$-en-US]mmm")</f>
        <v>Oct</v>
      </c>
    </row>
    <row r="399" spans="1:10" x14ac:dyDescent="0.3">
      <c r="A399" t="s">
        <v>425</v>
      </c>
      <c r="B399" s="2">
        <v>45427</v>
      </c>
      <c r="C399" t="s">
        <v>1276</v>
      </c>
      <c r="D399" t="s">
        <v>1290</v>
      </c>
      <c r="E399">
        <v>10</v>
      </c>
      <c r="F399" s="3">
        <v>500</v>
      </c>
      <c r="G399" s="3">
        <v>5000</v>
      </c>
      <c r="H399" t="s">
        <v>1313</v>
      </c>
      <c r="I399">
        <f>MONTH(Table1_1[[#This Row],[Order Date]])</f>
        <v>5</v>
      </c>
      <c r="J399" t="str">
        <f>TEXT(Table1_1[[#This Row],[Order Date]],"[$-en-US]mmm")</f>
        <v>May</v>
      </c>
    </row>
    <row r="400" spans="1:10" x14ac:dyDescent="0.3">
      <c r="A400" t="s">
        <v>426</v>
      </c>
      <c r="B400" s="2">
        <v>45379</v>
      </c>
      <c r="C400" t="s">
        <v>1276</v>
      </c>
      <c r="D400" t="s">
        <v>1290</v>
      </c>
      <c r="E400">
        <v>10</v>
      </c>
      <c r="F400" s="3">
        <v>506</v>
      </c>
      <c r="G400" s="3">
        <v>5060</v>
      </c>
      <c r="H400" t="s">
        <v>1316</v>
      </c>
      <c r="I400">
        <f>MONTH(Table1_1[[#This Row],[Order Date]])</f>
        <v>3</v>
      </c>
      <c r="J400" t="str">
        <f>TEXT(Table1_1[[#This Row],[Order Date]],"[$-en-US]mmm")</f>
        <v>Mar</v>
      </c>
    </row>
    <row r="401" spans="1:10" x14ac:dyDescent="0.3">
      <c r="A401" t="s">
        <v>427</v>
      </c>
      <c r="B401" s="2">
        <v>45585</v>
      </c>
      <c r="C401" t="s">
        <v>1279</v>
      </c>
      <c r="D401" t="s">
        <v>1289</v>
      </c>
      <c r="E401">
        <v>4</v>
      </c>
      <c r="F401" s="3">
        <v>47</v>
      </c>
      <c r="G401" s="3">
        <v>188</v>
      </c>
      <c r="H401" t="s">
        <v>1314</v>
      </c>
      <c r="I401">
        <f>MONTH(Table1_1[[#This Row],[Order Date]])</f>
        <v>10</v>
      </c>
      <c r="J401" t="str">
        <f>TEXT(Table1_1[[#This Row],[Order Date]],"[$-en-US]mmm")</f>
        <v>Oct</v>
      </c>
    </row>
    <row r="402" spans="1:10" x14ac:dyDescent="0.3">
      <c r="A402" t="s">
        <v>428</v>
      </c>
      <c r="B402" s="2">
        <v>45452</v>
      </c>
      <c r="C402" t="s">
        <v>1274</v>
      </c>
      <c r="D402" t="s">
        <v>1290</v>
      </c>
      <c r="E402">
        <v>1</v>
      </c>
      <c r="F402" s="3">
        <v>466</v>
      </c>
      <c r="G402" s="3">
        <v>466</v>
      </c>
      <c r="H402" t="s">
        <v>1316</v>
      </c>
      <c r="I402">
        <f>MONTH(Table1_1[[#This Row],[Order Date]])</f>
        <v>6</v>
      </c>
      <c r="J402" t="str">
        <f>TEXT(Table1_1[[#This Row],[Order Date]],"[$-en-US]mmm")</f>
        <v>Jun</v>
      </c>
    </row>
    <row r="403" spans="1:10" x14ac:dyDescent="0.3">
      <c r="A403" t="s">
        <v>429</v>
      </c>
      <c r="B403" s="2">
        <v>45396</v>
      </c>
      <c r="C403" t="s">
        <v>1279</v>
      </c>
      <c r="D403" t="s">
        <v>1289</v>
      </c>
      <c r="E403">
        <v>7</v>
      </c>
      <c r="F403" s="3">
        <v>722</v>
      </c>
      <c r="G403" s="3">
        <v>5054</v>
      </c>
      <c r="H403" t="s">
        <v>1316</v>
      </c>
      <c r="I403">
        <f>MONTH(Table1_1[[#This Row],[Order Date]])</f>
        <v>4</v>
      </c>
      <c r="J403" t="str">
        <f>TEXT(Table1_1[[#This Row],[Order Date]],"[$-en-US]mmm")</f>
        <v>Apr</v>
      </c>
    </row>
    <row r="404" spans="1:10" x14ac:dyDescent="0.3">
      <c r="A404" t="s">
        <v>431</v>
      </c>
      <c r="B404" s="2">
        <v>45484</v>
      </c>
      <c r="C404" t="s">
        <v>1280</v>
      </c>
      <c r="D404" t="s">
        <v>1290</v>
      </c>
      <c r="E404">
        <v>8</v>
      </c>
      <c r="F404" s="3">
        <v>553</v>
      </c>
      <c r="G404" s="3">
        <v>4424</v>
      </c>
      <c r="H404" t="s">
        <v>1315</v>
      </c>
      <c r="I404">
        <f>MONTH(Table1_1[[#This Row],[Order Date]])</f>
        <v>7</v>
      </c>
      <c r="J404" t="str">
        <f>TEXT(Table1_1[[#This Row],[Order Date]],"[$-en-US]mmm")</f>
        <v>Jul</v>
      </c>
    </row>
    <row r="405" spans="1:10" x14ac:dyDescent="0.3">
      <c r="A405" t="s">
        <v>432</v>
      </c>
      <c r="B405" s="2">
        <v>45467</v>
      </c>
      <c r="C405" t="s">
        <v>1279</v>
      </c>
      <c r="D405" t="s">
        <v>1289</v>
      </c>
      <c r="E405">
        <v>8</v>
      </c>
      <c r="F405" s="3">
        <v>560</v>
      </c>
      <c r="G405" s="3">
        <v>4480</v>
      </c>
      <c r="H405" t="s">
        <v>1315</v>
      </c>
      <c r="I405">
        <f>MONTH(Table1_1[[#This Row],[Order Date]])</f>
        <v>6</v>
      </c>
      <c r="J405" t="str">
        <f>TEXT(Table1_1[[#This Row],[Order Date]],"[$-en-US]mmm")</f>
        <v>Jun</v>
      </c>
    </row>
    <row r="406" spans="1:10" x14ac:dyDescent="0.3">
      <c r="A406" t="s">
        <v>433</v>
      </c>
      <c r="B406" s="2">
        <v>45390</v>
      </c>
      <c r="C406" t="s">
        <v>1277</v>
      </c>
      <c r="D406" t="s">
        <v>1289</v>
      </c>
      <c r="E406">
        <v>10</v>
      </c>
      <c r="F406" s="3">
        <v>510</v>
      </c>
      <c r="G406" s="3">
        <v>5100</v>
      </c>
      <c r="H406" t="s">
        <v>1313</v>
      </c>
      <c r="I406">
        <f>MONTH(Table1_1[[#This Row],[Order Date]])</f>
        <v>4</v>
      </c>
      <c r="J406" t="str">
        <f>TEXT(Table1_1[[#This Row],[Order Date]],"[$-en-US]mmm")</f>
        <v>Apr</v>
      </c>
    </row>
    <row r="407" spans="1:10" x14ac:dyDescent="0.3">
      <c r="A407" t="s">
        <v>434</v>
      </c>
      <c r="B407" s="2">
        <v>45407</v>
      </c>
      <c r="C407" t="s">
        <v>1277</v>
      </c>
      <c r="D407" t="s">
        <v>1289</v>
      </c>
      <c r="E407">
        <v>9</v>
      </c>
      <c r="F407" s="3">
        <v>320</v>
      </c>
      <c r="G407" s="3">
        <v>2880</v>
      </c>
      <c r="H407" t="s">
        <v>1315</v>
      </c>
      <c r="I407">
        <f>MONTH(Table1_1[[#This Row],[Order Date]])</f>
        <v>4</v>
      </c>
      <c r="J407" t="str">
        <f>TEXT(Table1_1[[#This Row],[Order Date]],"[$-en-US]mmm")</f>
        <v>Apr</v>
      </c>
    </row>
    <row r="408" spans="1:10" x14ac:dyDescent="0.3">
      <c r="A408" t="s">
        <v>435</v>
      </c>
      <c r="B408" s="2">
        <v>45652</v>
      </c>
      <c r="C408" t="s">
        <v>1277</v>
      </c>
      <c r="D408" t="s">
        <v>1289</v>
      </c>
      <c r="E408">
        <v>4</v>
      </c>
      <c r="F408" s="3">
        <v>721</v>
      </c>
      <c r="G408" s="3">
        <v>2884</v>
      </c>
      <c r="H408" t="s">
        <v>1316</v>
      </c>
      <c r="I408">
        <f>MONTH(Table1_1[[#This Row],[Order Date]])</f>
        <v>12</v>
      </c>
      <c r="J408" t="str">
        <f>TEXT(Table1_1[[#This Row],[Order Date]],"[$-en-US]mmm")</f>
        <v>Dec</v>
      </c>
    </row>
    <row r="409" spans="1:10" x14ac:dyDescent="0.3">
      <c r="A409" t="s">
        <v>436</v>
      </c>
      <c r="B409" s="2">
        <v>45578</v>
      </c>
      <c r="C409" t="s">
        <v>1280</v>
      </c>
      <c r="D409" t="s">
        <v>1290</v>
      </c>
      <c r="E409">
        <v>8</v>
      </c>
      <c r="F409" s="3">
        <v>372</v>
      </c>
      <c r="G409" s="3">
        <v>2976</v>
      </c>
      <c r="H409" t="s">
        <v>1315</v>
      </c>
      <c r="I409">
        <f>MONTH(Table1_1[[#This Row],[Order Date]])</f>
        <v>10</v>
      </c>
      <c r="J409" t="str">
        <f>TEXT(Table1_1[[#This Row],[Order Date]],"[$-en-US]mmm")</f>
        <v>Oct</v>
      </c>
    </row>
    <row r="410" spans="1:10" x14ac:dyDescent="0.3">
      <c r="A410" t="s">
        <v>437</v>
      </c>
      <c r="B410" s="2">
        <v>45638</v>
      </c>
      <c r="C410" t="s">
        <v>1277</v>
      </c>
      <c r="D410" t="s">
        <v>1289</v>
      </c>
      <c r="E410">
        <v>2</v>
      </c>
      <c r="F410" s="3">
        <v>602</v>
      </c>
      <c r="G410" s="3">
        <v>1204</v>
      </c>
      <c r="H410" t="s">
        <v>1316</v>
      </c>
      <c r="I410">
        <f>MONTH(Table1_1[[#This Row],[Order Date]])</f>
        <v>12</v>
      </c>
      <c r="J410" t="str">
        <f>TEXT(Table1_1[[#This Row],[Order Date]],"[$-en-US]mmm")</f>
        <v>Dec</v>
      </c>
    </row>
    <row r="411" spans="1:10" x14ac:dyDescent="0.3">
      <c r="A411" t="s">
        <v>438</v>
      </c>
      <c r="B411" s="2">
        <v>45366</v>
      </c>
      <c r="C411" t="s">
        <v>1275</v>
      </c>
      <c r="D411" t="s">
        <v>1289</v>
      </c>
      <c r="E411">
        <v>6</v>
      </c>
      <c r="F411" s="3">
        <v>806</v>
      </c>
      <c r="G411" s="3">
        <v>4836</v>
      </c>
      <c r="H411" t="s">
        <v>1315</v>
      </c>
      <c r="I411">
        <f>MONTH(Table1_1[[#This Row],[Order Date]])</f>
        <v>3</v>
      </c>
      <c r="J411" t="str">
        <f>TEXT(Table1_1[[#This Row],[Order Date]],"[$-en-US]mmm")</f>
        <v>Mar</v>
      </c>
    </row>
    <row r="412" spans="1:10" x14ac:dyDescent="0.3">
      <c r="A412" t="s">
        <v>439</v>
      </c>
      <c r="B412" s="2">
        <v>45332</v>
      </c>
      <c r="C412" t="s">
        <v>1276</v>
      </c>
      <c r="D412" t="s">
        <v>1290</v>
      </c>
      <c r="E412">
        <v>5</v>
      </c>
      <c r="F412" s="3">
        <v>746</v>
      </c>
      <c r="G412" s="3">
        <v>3730</v>
      </c>
      <c r="H412" t="s">
        <v>1315</v>
      </c>
      <c r="I412">
        <f>MONTH(Table1_1[[#This Row],[Order Date]])</f>
        <v>2</v>
      </c>
      <c r="J412" t="str">
        <f>TEXT(Table1_1[[#This Row],[Order Date]],"[$-en-US]mmm")</f>
        <v>Feb</v>
      </c>
    </row>
    <row r="413" spans="1:10" x14ac:dyDescent="0.3">
      <c r="A413" t="s">
        <v>440</v>
      </c>
      <c r="B413" s="2">
        <v>45537</v>
      </c>
      <c r="C413" t="s">
        <v>1282</v>
      </c>
      <c r="D413" t="s">
        <v>1290</v>
      </c>
      <c r="E413">
        <v>5</v>
      </c>
      <c r="F413" s="3">
        <v>780</v>
      </c>
      <c r="G413" s="3">
        <v>3900</v>
      </c>
      <c r="H413" t="s">
        <v>1313</v>
      </c>
      <c r="I413">
        <f>MONTH(Table1_1[[#This Row],[Order Date]])</f>
        <v>9</v>
      </c>
      <c r="J413" t="str">
        <f>TEXT(Table1_1[[#This Row],[Order Date]],"[$-en-US]mmm")</f>
        <v>Sep</v>
      </c>
    </row>
    <row r="414" spans="1:10" x14ac:dyDescent="0.3">
      <c r="A414" t="s">
        <v>441</v>
      </c>
      <c r="B414" s="2">
        <v>45579</v>
      </c>
      <c r="C414" t="s">
        <v>1274</v>
      </c>
      <c r="D414" t="s">
        <v>1290</v>
      </c>
      <c r="E414">
        <v>9</v>
      </c>
      <c r="F414" s="3">
        <v>292</v>
      </c>
      <c r="G414" s="3">
        <v>2628</v>
      </c>
      <c r="H414" t="s">
        <v>1315</v>
      </c>
      <c r="I414">
        <f>MONTH(Table1_1[[#This Row],[Order Date]])</f>
        <v>10</v>
      </c>
      <c r="J414" t="str">
        <f>TEXT(Table1_1[[#This Row],[Order Date]],"[$-en-US]mmm")</f>
        <v>Oct</v>
      </c>
    </row>
    <row r="415" spans="1:10" x14ac:dyDescent="0.3">
      <c r="A415" t="s">
        <v>442</v>
      </c>
      <c r="B415" s="2">
        <v>45592</v>
      </c>
      <c r="C415" t="s">
        <v>1279</v>
      </c>
      <c r="D415" t="s">
        <v>1289</v>
      </c>
      <c r="E415">
        <v>2</v>
      </c>
      <c r="F415" s="3">
        <v>645</v>
      </c>
      <c r="G415" s="3">
        <v>1290</v>
      </c>
      <c r="H415" t="s">
        <v>1313</v>
      </c>
      <c r="I415">
        <f>MONTH(Table1_1[[#This Row],[Order Date]])</f>
        <v>10</v>
      </c>
      <c r="J415" t="str">
        <f>TEXT(Table1_1[[#This Row],[Order Date]],"[$-en-US]mmm")</f>
        <v>Oct</v>
      </c>
    </row>
    <row r="416" spans="1:10" x14ac:dyDescent="0.3">
      <c r="A416" t="s">
        <v>443</v>
      </c>
      <c r="B416" s="2">
        <v>45563</v>
      </c>
      <c r="C416" t="s">
        <v>1274</v>
      </c>
      <c r="D416" t="s">
        <v>1290</v>
      </c>
      <c r="E416">
        <v>1</v>
      </c>
      <c r="F416" s="3">
        <v>700</v>
      </c>
      <c r="G416" s="3">
        <v>700</v>
      </c>
      <c r="H416" t="s">
        <v>1313</v>
      </c>
      <c r="I416">
        <f>MONTH(Table1_1[[#This Row],[Order Date]])</f>
        <v>9</v>
      </c>
      <c r="J416" t="str">
        <f>TEXT(Table1_1[[#This Row],[Order Date]],"[$-en-US]mmm")</f>
        <v>Sep</v>
      </c>
    </row>
    <row r="417" spans="1:10" x14ac:dyDescent="0.3">
      <c r="A417" t="s">
        <v>444</v>
      </c>
      <c r="B417" s="2">
        <v>45503</v>
      </c>
      <c r="C417" t="s">
        <v>1274</v>
      </c>
      <c r="D417" t="s">
        <v>1290</v>
      </c>
      <c r="E417">
        <v>1</v>
      </c>
      <c r="F417" s="3">
        <v>117</v>
      </c>
      <c r="G417" s="3">
        <v>117</v>
      </c>
      <c r="H417" t="s">
        <v>1315</v>
      </c>
      <c r="I417">
        <f>MONTH(Table1_1[[#This Row],[Order Date]])</f>
        <v>7</v>
      </c>
      <c r="J417" t="str">
        <f>TEXT(Table1_1[[#This Row],[Order Date]],"[$-en-US]mmm")</f>
        <v>Jul</v>
      </c>
    </row>
    <row r="418" spans="1:10" x14ac:dyDescent="0.3">
      <c r="A418" t="s">
        <v>445</v>
      </c>
      <c r="B418" s="2">
        <v>45362</v>
      </c>
      <c r="C418" t="s">
        <v>1282</v>
      </c>
      <c r="D418" t="s">
        <v>1290</v>
      </c>
      <c r="E418">
        <v>2</v>
      </c>
      <c r="F418" s="3">
        <v>712</v>
      </c>
      <c r="G418" s="3">
        <v>1424</v>
      </c>
      <c r="H418" t="s">
        <v>1314</v>
      </c>
      <c r="I418">
        <f>MONTH(Table1_1[[#This Row],[Order Date]])</f>
        <v>3</v>
      </c>
      <c r="J418" t="str">
        <f>TEXT(Table1_1[[#This Row],[Order Date]],"[$-en-US]mmm")</f>
        <v>Mar</v>
      </c>
    </row>
    <row r="419" spans="1:10" x14ac:dyDescent="0.3">
      <c r="A419" t="s">
        <v>446</v>
      </c>
      <c r="B419" s="2">
        <v>45535</v>
      </c>
      <c r="C419" t="s">
        <v>1279</v>
      </c>
      <c r="D419" t="s">
        <v>1289</v>
      </c>
      <c r="E419">
        <v>7</v>
      </c>
      <c r="F419" s="3">
        <v>683</v>
      </c>
      <c r="G419" s="3">
        <v>4781</v>
      </c>
      <c r="H419" t="s">
        <v>1316</v>
      </c>
      <c r="I419">
        <f>MONTH(Table1_1[[#This Row],[Order Date]])</f>
        <v>8</v>
      </c>
      <c r="J419" t="str">
        <f>TEXT(Table1_1[[#This Row],[Order Date]],"[$-en-US]mmm")</f>
        <v>Aug</v>
      </c>
    </row>
    <row r="420" spans="1:10" x14ac:dyDescent="0.3">
      <c r="A420" t="s">
        <v>447</v>
      </c>
      <c r="B420" s="2">
        <v>45438</v>
      </c>
      <c r="C420" t="s">
        <v>1274</v>
      </c>
      <c r="D420" t="s">
        <v>1290</v>
      </c>
      <c r="E420">
        <v>5</v>
      </c>
      <c r="F420" s="3">
        <v>343</v>
      </c>
      <c r="G420" s="3">
        <v>1715</v>
      </c>
      <c r="H420" t="s">
        <v>1314</v>
      </c>
      <c r="I420">
        <f>MONTH(Table1_1[[#This Row],[Order Date]])</f>
        <v>5</v>
      </c>
      <c r="J420" t="str">
        <f>TEXT(Table1_1[[#This Row],[Order Date]],"[$-en-US]mmm")</f>
        <v>May</v>
      </c>
    </row>
    <row r="421" spans="1:10" x14ac:dyDescent="0.3">
      <c r="A421" t="s">
        <v>448</v>
      </c>
      <c r="B421" s="2">
        <v>45565</v>
      </c>
      <c r="C421" t="s">
        <v>1273</v>
      </c>
      <c r="D421" t="s">
        <v>1289</v>
      </c>
      <c r="E421">
        <v>10</v>
      </c>
      <c r="F421" s="3">
        <v>252</v>
      </c>
      <c r="G421" s="3">
        <v>2520</v>
      </c>
      <c r="H421" t="s">
        <v>1314</v>
      </c>
      <c r="I421">
        <f>MONTH(Table1_1[[#This Row],[Order Date]])</f>
        <v>9</v>
      </c>
      <c r="J421" t="str">
        <f>TEXT(Table1_1[[#This Row],[Order Date]],"[$-en-US]mmm")</f>
        <v>Sep</v>
      </c>
    </row>
    <row r="422" spans="1:10" x14ac:dyDescent="0.3">
      <c r="A422" t="s">
        <v>449</v>
      </c>
      <c r="B422" s="2">
        <v>45382</v>
      </c>
      <c r="C422" t="s">
        <v>1279</v>
      </c>
      <c r="D422" t="s">
        <v>1289</v>
      </c>
      <c r="E422">
        <v>7</v>
      </c>
      <c r="F422" s="3">
        <v>872</v>
      </c>
      <c r="G422" s="3">
        <v>6104</v>
      </c>
      <c r="H422" t="s">
        <v>1314</v>
      </c>
      <c r="I422">
        <f>MONTH(Table1_1[[#This Row],[Order Date]])</f>
        <v>3</v>
      </c>
      <c r="J422" t="str">
        <f>TEXT(Table1_1[[#This Row],[Order Date]],"[$-en-US]mmm")</f>
        <v>Mar</v>
      </c>
    </row>
    <row r="423" spans="1:10" x14ac:dyDescent="0.3">
      <c r="A423" t="s">
        <v>450</v>
      </c>
      <c r="B423" s="2">
        <v>45440</v>
      </c>
      <c r="C423" t="s">
        <v>1275</v>
      </c>
      <c r="D423" t="s">
        <v>1289</v>
      </c>
      <c r="E423">
        <v>8</v>
      </c>
      <c r="F423" s="3">
        <v>205</v>
      </c>
      <c r="G423" s="3">
        <v>1640</v>
      </c>
      <c r="H423" t="s">
        <v>1314</v>
      </c>
      <c r="I423">
        <f>MONTH(Table1_1[[#This Row],[Order Date]])</f>
        <v>5</v>
      </c>
      <c r="J423" t="str">
        <f>TEXT(Table1_1[[#This Row],[Order Date]],"[$-en-US]mmm")</f>
        <v>May</v>
      </c>
    </row>
    <row r="424" spans="1:10" x14ac:dyDescent="0.3">
      <c r="A424" t="s">
        <v>451</v>
      </c>
      <c r="B424" s="2">
        <v>45600</v>
      </c>
      <c r="C424" t="s">
        <v>1276</v>
      </c>
      <c r="D424" t="s">
        <v>1290</v>
      </c>
      <c r="E424">
        <v>5</v>
      </c>
      <c r="F424" s="3">
        <v>596</v>
      </c>
      <c r="G424" s="3">
        <v>2980</v>
      </c>
      <c r="H424" t="s">
        <v>1314</v>
      </c>
      <c r="I424">
        <f>MONTH(Table1_1[[#This Row],[Order Date]])</f>
        <v>11</v>
      </c>
      <c r="J424" t="str">
        <f>TEXT(Table1_1[[#This Row],[Order Date]],"[$-en-US]mmm")</f>
        <v>Nov</v>
      </c>
    </row>
    <row r="425" spans="1:10" x14ac:dyDescent="0.3">
      <c r="A425" t="s">
        <v>452</v>
      </c>
      <c r="B425" s="2">
        <v>45620</v>
      </c>
      <c r="C425" t="s">
        <v>1280</v>
      </c>
      <c r="D425" t="s">
        <v>1290</v>
      </c>
      <c r="E425">
        <v>5</v>
      </c>
      <c r="F425" s="3">
        <v>480</v>
      </c>
      <c r="G425" s="3">
        <v>2400</v>
      </c>
      <c r="H425" t="s">
        <v>1316</v>
      </c>
      <c r="I425">
        <f>MONTH(Table1_1[[#This Row],[Order Date]])</f>
        <v>11</v>
      </c>
      <c r="J425" t="str">
        <f>TEXT(Table1_1[[#This Row],[Order Date]],"[$-en-US]mmm")</f>
        <v>Nov</v>
      </c>
    </row>
    <row r="426" spans="1:10" x14ac:dyDescent="0.3">
      <c r="A426" t="s">
        <v>453</v>
      </c>
      <c r="B426" s="2">
        <v>45431</v>
      </c>
      <c r="C426" t="s">
        <v>1279</v>
      </c>
      <c r="D426" t="s">
        <v>1289</v>
      </c>
      <c r="E426">
        <v>9</v>
      </c>
      <c r="F426" s="3">
        <v>494</v>
      </c>
      <c r="G426" s="3">
        <v>4446</v>
      </c>
      <c r="H426" t="s">
        <v>1313</v>
      </c>
      <c r="I426">
        <f>MONTH(Table1_1[[#This Row],[Order Date]])</f>
        <v>5</v>
      </c>
      <c r="J426" t="str">
        <f>TEXT(Table1_1[[#This Row],[Order Date]],"[$-en-US]mmm")</f>
        <v>May</v>
      </c>
    </row>
    <row r="427" spans="1:10" x14ac:dyDescent="0.3">
      <c r="A427" t="s">
        <v>454</v>
      </c>
      <c r="B427" s="2">
        <v>45526</v>
      </c>
      <c r="C427" t="s">
        <v>1273</v>
      </c>
      <c r="D427" t="s">
        <v>1289</v>
      </c>
      <c r="E427">
        <v>6</v>
      </c>
      <c r="F427" s="3">
        <v>181</v>
      </c>
      <c r="G427" s="3">
        <v>1086</v>
      </c>
      <c r="H427" t="s">
        <v>1315</v>
      </c>
      <c r="I427">
        <f>MONTH(Table1_1[[#This Row],[Order Date]])</f>
        <v>8</v>
      </c>
      <c r="J427" t="str">
        <f>TEXT(Table1_1[[#This Row],[Order Date]],"[$-en-US]mmm")</f>
        <v>Aug</v>
      </c>
    </row>
    <row r="428" spans="1:10" x14ac:dyDescent="0.3">
      <c r="A428" t="s">
        <v>455</v>
      </c>
      <c r="B428" s="2">
        <v>45464</v>
      </c>
      <c r="C428" t="s">
        <v>1279</v>
      </c>
      <c r="D428" t="s">
        <v>1289</v>
      </c>
      <c r="E428">
        <v>1</v>
      </c>
      <c r="F428" s="3">
        <v>769</v>
      </c>
      <c r="G428" s="3">
        <v>769</v>
      </c>
      <c r="H428" t="s">
        <v>1315</v>
      </c>
      <c r="I428">
        <f>MONTH(Table1_1[[#This Row],[Order Date]])</f>
        <v>6</v>
      </c>
      <c r="J428" t="str">
        <f>TEXT(Table1_1[[#This Row],[Order Date]],"[$-en-US]mmm")</f>
        <v>Jun</v>
      </c>
    </row>
    <row r="429" spans="1:10" x14ac:dyDescent="0.3">
      <c r="A429" t="s">
        <v>456</v>
      </c>
      <c r="B429" s="2">
        <v>45619</v>
      </c>
      <c r="C429" t="s">
        <v>1274</v>
      </c>
      <c r="D429" t="s">
        <v>1290</v>
      </c>
      <c r="E429">
        <v>3</v>
      </c>
      <c r="F429" s="3">
        <v>640</v>
      </c>
      <c r="G429" s="3">
        <v>1920</v>
      </c>
      <c r="H429" t="s">
        <v>1316</v>
      </c>
      <c r="I429">
        <f>MONTH(Table1_1[[#This Row],[Order Date]])</f>
        <v>11</v>
      </c>
      <c r="J429" t="str">
        <f>TEXT(Table1_1[[#This Row],[Order Date]],"[$-en-US]mmm")</f>
        <v>Nov</v>
      </c>
    </row>
    <row r="430" spans="1:10" x14ac:dyDescent="0.3">
      <c r="A430" t="s">
        <v>457</v>
      </c>
      <c r="B430" s="2">
        <v>45336</v>
      </c>
      <c r="C430" t="s">
        <v>1275</v>
      </c>
      <c r="D430" t="s">
        <v>1289</v>
      </c>
      <c r="E430">
        <v>9</v>
      </c>
      <c r="F430" s="3">
        <v>350</v>
      </c>
      <c r="G430" s="3">
        <v>3150</v>
      </c>
      <c r="H430" t="s">
        <v>1316</v>
      </c>
      <c r="I430">
        <f>MONTH(Table1_1[[#This Row],[Order Date]])</f>
        <v>2</v>
      </c>
      <c r="J430" t="str">
        <f>TEXT(Table1_1[[#This Row],[Order Date]],"[$-en-US]mmm")</f>
        <v>Feb</v>
      </c>
    </row>
    <row r="431" spans="1:10" x14ac:dyDescent="0.3">
      <c r="A431" t="s">
        <v>458</v>
      </c>
      <c r="B431" s="2">
        <v>45536</v>
      </c>
      <c r="C431" t="s">
        <v>1273</v>
      </c>
      <c r="D431" t="s">
        <v>1289</v>
      </c>
      <c r="E431">
        <v>3</v>
      </c>
      <c r="F431" s="3">
        <v>158</v>
      </c>
      <c r="G431" s="3">
        <v>474</v>
      </c>
      <c r="H431" t="s">
        <v>1315</v>
      </c>
      <c r="I431">
        <f>MONTH(Table1_1[[#This Row],[Order Date]])</f>
        <v>9</v>
      </c>
      <c r="J431" t="str">
        <f>TEXT(Table1_1[[#This Row],[Order Date]],"[$-en-US]mmm")</f>
        <v>Sep</v>
      </c>
    </row>
    <row r="432" spans="1:10" x14ac:dyDescent="0.3">
      <c r="A432" t="s">
        <v>459</v>
      </c>
      <c r="B432" s="2">
        <v>45488</v>
      </c>
      <c r="C432" t="s">
        <v>1274</v>
      </c>
      <c r="D432" t="s">
        <v>1290</v>
      </c>
      <c r="E432">
        <v>1</v>
      </c>
      <c r="F432" s="3">
        <v>282</v>
      </c>
      <c r="G432" s="3">
        <v>282</v>
      </c>
      <c r="H432" t="s">
        <v>1313</v>
      </c>
      <c r="I432">
        <f>MONTH(Table1_1[[#This Row],[Order Date]])</f>
        <v>7</v>
      </c>
      <c r="J432" t="str">
        <f>TEXT(Table1_1[[#This Row],[Order Date]],"[$-en-US]mmm")</f>
        <v>Jul</v>
      </c>
    </row>
    <row r="433" spans="1:10" x14ac:dyDescent="0.3">
      <c r="A433" t="s">
        <v>460</v>
      </c>
      <c r="B433" s="2">
        <v>45446</v>
      </c>
      <c r="C433" t="s">
        <v>1282</v>
      </c>
      <c r="D433" t="s">
        <v>1290</v>
      </c>
      <c r="E433">
        <v>5</v>
      </c>
      <c r="F433" s="3">
        <v>352</v>
      </c>
      <c r="G433" s="3">
        <v>1760</v>
      </c>
      <c r="H433" t="s">
        <v>1314</v>
      </c>
      <c r="I433">
        <f>MONTH(Table1_1[[#This Row],[Order Date]])</f>
        <v>6</v>
      </c>
      <c r="J433" t="str">
        <f>TEXT(Table1_1[[#This Row],[Order Date]],"[$-en-US]mmm")</f>
        <v>Jun</v>
      </c>
    </row>
    <row r="434" spans="1:10" x14ac:dyDescent="0.3">
      <c r="A434" t="s">
        <v>461</v>
      </c>
      <c r="B434" s="2">
        <v>45412</v>
      </c>
      <c r="C434" t="s">
        <v>1277</v>
      </c>
      <c r="D434" t="s">
        <v>1289</v>
      </c>
      <c r="E434">
        <v>6</v>
      </c>
      <c r="F434" s="3">
        <v>724</v>
      </c>
      <c r="G434" s="3">
        <v>4344</v>
      </c>
      <c r="H434" t="s">
        <v>1314</v>
      </c>
      <c r="I434">
        <f>MONTH(Table1_1[[#This Row],[Order Date]])</f>
        <v>4</v>
      </c>
      <c r="J434" t="str">
        <f>TEXT(Table1_1[[#This Row],[Order Date]],"[$-en-US]mmm")</f>
        <v>Apr</v>
      </c>
    </row>
    <row r="435" spans="1:10" x14ac:dyDescent="0.3">
      <c r="A435" t="s">
        <v>462</v>
      </c>
      <c r="B435" s="2">
        <v>45373</v>
      </c>
      <c r="C435" t="s">
        <v>1273</v>
      </c>
      <c r="D435" t="s">
        <v>1289</v>
      </c>
      <c r="E435">
        <v>8</v>
      </c>
      <c r="F435" s="3">
        <v>329</v>
      </c>
      <c r="G435" s="3">
        <v>2632</v>
      </c>
      <c r="H435" t="s">
        <v>1316</v>
      </c>
      <c r="I435">
        <f>MONTH(Table1_1[[#This Row],[Order Date]])</f>
        <v>3</v>
      </c>
      <c r="J435" t="str">
        <f>TEXT(Table1_1[[#This Row],[Order Date]],"[$-en-US]mmm")</f>
        <v>Mar</v>
      </c>
    </row>
    <row r="436" spans="1:10" x14ac:dyDescent="0.3">
      <c r="A436" t="s">
        <v>463</v>
      </c>
      <c r="B436" s="2">
        <v>45443</v>
      </c>
      <c r="C436" t="s">
        <v>1277</v>
      </c>
      <c r="D436" t="s">
        <v>1289</v>
      </c>
      <c r="E436">
        <v>2</v>
      </c>
      <c r="F436" s="3">
        <v>669</v>
      </c>
      <c r="G436" s="3">
        <v>1338</v>
      </c>
      <c r="H436" t="s">
        <v>1315</v>
      </c>
      <c r="I436">
        <f>MONTH(Table1_1[[#This Row],[Order Date]])</f>
        <v>5</v>
      </c>
      <c r="J436" t="str">
        <f>TEXT(Table1_1[[#This Row],[Order Date]],"[$-en-US]mmm")</f>
        <v>May</v>
      </c>
    </row>
    <row r="437" spans="1:10" x14ac:dyDescent="0.3">
      <c r="A437" t="s">
        <v>464</v>
      </c>
      <c r="B437" s="2">
        <v>45536</v>
      </c>
      <c r="C437" t="s">
        <v>1274</v>
      </c>
      <c r="D437" t="s">
        <v>1290</v>
      </c>
      <c r="E437">
        <v>4</v>
      </c>
      <c r="F437" s="3">
        <v>151</v>
      </c>
      <c r="G437" s="3">
        <v>604</v>
      </c>
      <c r="H437" t="s">
        <v>1313</v>
      </c>
      <c r="I437">
        <f>MONTH(Table1_1[[#This Row],[Order Date]])</f>
        <v>9</v>
      </c>
      <c r="J437" t="str">
        <f>TEXT(Table1_1[[#This Row],[Order Date]],"[$-en-US]mmm")</f>
        <v>Sep</v>
      </c>
    </row>
    <row r="438" spans="1:10" x14ac:dyDescent="0.3">
      <c r="A438" t="s">
        <v>465</v>
      </c>
      <c r="B438" s="2">
        <v>45504</v>
      </c>
      <c r="C438" t="s">
        <v>1282</v>
      </c>
      <c r="D438" t="s">
        <v>1290</v>
      </c>
      <c r="E438">
        <v>10</v>
      </c>
      <c r="F438" s="3">
        <v>397</v>
      </c>
      <c r="G438" s="3">
        <v>3970</v>
      </c>
      <c r="H438" t="s">
        <v>1316</v>
      </c>
      <c r="I438">
        <f>MONTH(Table1_1[[#This Row],[Order Date]])</f>
        <v>7</v>
      </c>
      <c r="J438" t="str">
        <f>TEXT(Table1_1[[#This Row],[Order Date]],"[$-en-US]mmm")</f>
        <v>Jul</v>
      </c>
    </row>
    <row r="439" spans="1:10" x14ac:dyDescent="0.3">
      <c r="A439" t="s">
        <v>466</v>
      </c>
      <c r="B439" s="2">
        <v>45597</v>
      </c>
      <c r="C439" t="s">
        <v>1274</v>
      </c>
      <c r="D439" t="s">
        <v>1290</v>
      </c>
      <c r="E439">
        <v>4</v>
      </c>
      <c r="F439" s="3">
        <v>711</v>
      </c>
      <c r="G439" s="3">
        <v>2844</v>
      </c>
      <c r="H439" t="s">
        <v>1314</v>
      </c>
      <c r="I439">
        <f>MONTH(Table1_1[[#This Row],[Order Date]])</f>
        <v>11</v>
      </c>
      <c r="J439" t="str">
        <f>TEXT(Table1_1[[#This Row],[Order Date]],"[$-en-US]mmm")</f>
        <v>Nov</v>
      </c>
    </row>
    <row r="440" spans="1:10" x14ac:dyDescent="0.3">
      <c r="A440" t="s">
        <v>467</v>
      </c>
      <c r="B440" s="2">
        <v>45477</v>
      </c>
      <c r="C440" t="s">
        <v>1282</v>
      </c>
      <c r="D440" t="s">
        <v>1290</v>
      </c>
      <c r="E440">
        <v>9</v>
      </c>
      <c r="F440" s="3">
        <v>735</v>
      </c>
      <c r="G440" s="3">
        <v>6615</v>
      </c>
      <c r="H440" t="s">
        <v>1314</v>
      </c>
      <c r="I440">
        <f>MONTH(Table1_1[[#This Row],[Order Date]])</f>
        <v>7</v>
      </c>
      <c r="J440" t="str">
        <f>TEXT(Table1_1[[#This Row],[Order Date]],"[$-en-US]mmm")</f>
        <v>Jul</v>
      </c>
    </row>
    <row r="441" spans="1:10" x14ac:dyDescent="0.3">
      <c r="A441" t="s">
        <v>468</v>
      </c>
      <c r="B441" s="2">
        <v>45572</v>
      </c>
      <c r="C441" t="s">
        <v>1273</v>
      </c>
      <c r="D441" t="s">
        <v>1289</v>
      </c>
      <c r="E441">
        <v>1</v>
      </c>
      <c r="F441" s="3">
        <v>863</v>
      </c>
      <c r="G441" s="3">
        <v>863</v>
      </c>
      <c r="H441" t="s">
        <v>1313</v>
      </c>
      <c r="I441">
        <f>MONTH(Table1_1[[#This Row],[Order Date]])</f>
        <v>10</v>
      </c>
      <c r="J441" t="str">
        <f>TEXT(Table1_1[[#This Row],[Order Date]],"[$-en-US]mmm")</f>
        <v>Oct</v>
      </c>
    </row>
    <row r="442" spans="1:10" x14ac:dyDescent="0.3">
      <c r="A442" t="s">
        <v>469</v>
      </c>
      <c r="B442" s="2">
        <v>45558</v>
      </c>
      <c r="C442" t="s">
        <v>1279</v>
      </c>
      <c r="D442" t="s">
        <v>1289</v>
      </c>
      <c r="E442">
        <v>3</v>
      </c>
      <c r="F442" s="3">
        <v>350</v>
      </c>
      <c r="G442" s="3">
        <v>1050</v>
      </c>
      <c r="H442" t="s">
        <v>1316</v>
      </c>
      <c r="I442">
        <f>MONTH(Table1_1[[#This Row],[Order Date]])</f>
        <v>9</v>
      </c>
      <c r="J442" t="str">
        <f>TEXT(Table1_1[[#This Row],[Order Date]],"[$-en-US]mmm")</f>
        <v>Sep</v>
      </c>
    </row>
    <row r="443" spans="1:10" x14ac:dyDescent="0.3">
      <c r="A443" t="s">
        <v>470</v>
      </c>
      <c r="B443" s="2">
        <v>45590</v>
      </c>
      <c r="C443" t="s">
        <v>1273</v>
      </c>
      <c r="D443" t="s">
        <v>1289</v>
      </c>
      <c r="E443">
        <v>4</v>
      </c>
      <c r="F443" s="3">
        <v>749</v>
      </c>
      <c r="G443" s="3">
        <v>2996</v>
      </c>
      <c r="H443" t="s">
        <v>1316</v>
      </c>
      <c r="I443">
        <f>MONTH(Table1_1[[#This Row],[Order Date]])</f>
        <v>10</v>
      </c>
      <c r="J443" t="str">
        <f>TEXT(Table1_1[[#This Row],[Order Date]],"[$-en-US]mmm")</f>
        <v>Oct</v>
      </c>
    </row>
    <row r="444" spans="1:10" x14ac:dyDescent="0.3">
      <c r="A444" t="s">
        <v>471</v>
      </c>
      <c r="B444" s="2">
        <v>45320</v>
      </c>
      <c r="C444" t="s">
        <v>1273</v>
      </c>
      <c r="D444" t="s">
        <v>1289</v>
      </c>
      <c r="E444">
        <v>9</v>
      </c>
      <c r="F444" s="3">
        <v>471</v>
      </c>
      <c r="G444" s="3">
        <v>4239</v>
      </c>
      <c r="H444" t="s">
        <v>1316</v>
      </c>
      <c r="I444">
        <f>MONTH(Table1_1[[#This Row],[Order Date]])</f>
        <v>1</v>
      </c>
      <c r="J444" t="str">
        <f>TEXT(Table1_1[[#This Row],[Order Date]],"[$-en-US]mmm")</f>
        <v>Jan</v>
      </c>
    </row>
    <row r="445" spans="1:10" x14ac:dyDescent="0.3">
      <c r="A445" t="s">
        <v>472</v>
      </c>
      <c r="B445" s="2">
        <v>45525</v>
      </c>
      <c r="C445" t="s">
        <v>1279</v>
      </c>
      <c r="D445" t="s">
        <v>1289</v>
      </c>
      <c r="E445">
        <v>9</v>
      </c>
      <c r="F445" s="3">
        <v>440</v>
      </c>
      <c r="G445" s="3">
        <v>3960</v>
      </c>
      <c r="H445" t="s">
        <v>1314</v>
      </c>
      <c r="I445">
        <f>MONTH(Table1_1[[#This Row],[Order Date]])</f>
        <v>8</v>
      </c>
      <c r="J445" t="str">
        <f>TEXT(Table1_1[[#This Row],[Order Date]],"[$-en-US]mmm")</f>
        <v>Aug</v>
      </c>
    </row>
    <row r="446" spans="1:10" x14ac:dyDescent="0.3">
      <c r="A446" t="s">
        <v>473</v>
      </c>
      <c r="B446" s="2">
        <v>45303</v>
      </c>
      <c r="C446" t="s">
        <v>1282</v>
      </c>
      <c r="D446" t="s">
        <v>1290</v>
      </c>
      <c r="E446">
        <v>5</v>
      </c>
      <c r="F446" s="3">
        <v>755</v>
      </c>
      <c r="G446" s="3">
        <v>3775</v>
      </c>
      <c r="H446" t="s">
        <v>1316</v>
      </c>
      <c r="I446">
        <f>MONTH(Table1_1[[#This Row],[Order Date]])</f>
        <v>1</v>
      </c>
      <c r="J446" t="str">
        <f>TEXT(Table1_1[[#This Row],[Order Date]],"[$-en-US]mmm")</f>
        <v>Jan</v>
      </c>
    </row>
    <row r="447" spans="1:10" x14ac:dyDescent="0.3">
      <c r="A447" t="s">
        <v>474</v>
      </c>
      <c r="B447" s="2">
        <v>45403</v>
      </c>
      <c r="C447" t="s">
        <v>1277</v>
      </c>
      <c r="D447" t="s">
        <v>1289</v>
      </c>
      <c r="E447">
        <v>1</v>
      </c>
      <c r="F447" s="3">
        <v>778</v>
      </c>
      <c r="G447" s="3">
        <v>778</v>
      </c>
      <c r="H447" t="s">
        <v>1314</v>
      </c>
      <c r="I447">
        <f>MONTH(Table1_1[[#This Row],[Order Date]])</f>
        <v>4</v>
      </c>
      <c r="J447" t="str">
        <f>TEXT(Table1_1[[#This Row],[Order Date]],"[$-en-US]mmm")</f>
        <v>Apr</v>
      </c>
    </row>
    <row r="448" spans="1:10" x14ac:dyDescent="0.3">
      <c r="A448" t="s">
        <v>475</v>
      </c>
      <c r="B448" s="2">
        <v>45650</v>
      </c>
      <c r="C448" t="s">
        <v>1276</v>
      </c>
      <c r="D448" t="s">
        <v>1290</v>
      </c>
      <c r="E448">
        <v>7</v>
      </c>
      <c r="F448" s="3">
        <v>367</v>
      </c>
      <c r="G448" s="3">
        <v>2569</v>
      </c>
      <c r="H448" t="s">
        <v>1314</v>
      </c>
      <c r="I448">
        <f>MONTH(Table1_1[[#This Row],[Order Date]])</f>
        <v>12</v>
      </c>
      <c r="J448" t="str">
        <f>TEXT(Table1_1[[#This Row],[Order Date]],"[$-en-US]mmm")</f>
        <v>Dec</v>
      </c>
    </row>
    <row r="449" spans="1:10" x14ac:dyDescent="0.3">
      <c r="A449" t="s">
        <v>476</v>
      </c>
      <c r="B449" s="2">
        <v>45308</v>
      </c>
      <c r="C449" t="s">
        <v>1276</v>
      </c>
      <c r="D449" t="s">
        <v>1290</v>
      </c>
      <c r="E449">
        <v>2</v>
      </c>
      <c r="F449" s="3">
        <v>498</v>
      </c>
      <c r="G449" s="3">
        <v>996</v>
      </c>
      <c r="H449" t="s">
        <v>1315</v>
      </c>
      <c r="I449">
        <f>MONTH(Table1_1[[#This Row],[Order Date]])</f>
        <v>1</v>
      </c>
      <c r="J449" t="str">
        <f>TEXT(Table1_1[[#This Row],[Order Date]],"[$-en-US]mmm")</f>
        <v>Jan</v>
      </c>
    </row>
    <row r="450" spans="1:10" x14ac:dyDescent="0.3">
      <c r="A450" t="s">
        <v>477</v>
      </c>
      <c r="B450" s="2">
        <v>45361</v>
      </c>
      <c r="C450" t="s">
        <v>1275</v>
      </c>
      <c r="D450" t="s">
        <v>1289</v>
      </c>
      <c r="E450">
        <v>3</v>
      </c>
      <c r="F450" s="3">
        <v>802</v>
      </c>
      <c r="G450" s="3">
        <v>2406</v>
      </c>
      <c r="H450" t="s">
        <v>1316</v>
      </c>
      <c r="I450">
        <f>MONTH(Table1_1[[#This Row],[Order Date]])</f>
        <v>3</v>
      </c>
      <c r="J450" t="str">
        <f>TEXT(Table1_1[[#This Row],[Order Date]],"[$-en-US]mmm")</f>
        <v>Mar</v>
      </c>
    </row>
    <row r="451" spans="1:10" x14ac:dyDescent="0.3">
      <c r="A451" t="s">
        <v>478</v>
      </c>
      <c r="B451" s="2">
        <v>45485</v>
      </c>
      <c r="C451" t="s">
        <v>1280</v>
      </c>
      <c r="D451" t="s">
        <v>1290</v>
      </c>
      <c r="E451">
        <v>7</v>
      </c>
      <c r="F451" s="3">
        <v>474</v>
      </c>
      <c r="G451" s="3">
        <v>3318</v>
      </c>
      <c r="H451" t="s">
        <v>1316</v>
      </c>
      <c r="I451">
        <f>MONTH(Table1_1[[#This Row],[Order Date]])</f>
        <v>7</v>
      </c>
      <c r="J451" t="str">
        <f>TEXT(Table1_1[[#This Row],[Order Date]],"[$-en-US]mmm")</f>
        <v>Jul</v>
      </c>
    </row>
    <row r="452" spans="1:10" x14ac:dyDescent="0.3">
      <c r="A452" t="s">
        <v>479</v>
      </c>
      <c r="B452" s="2">
        <v>45626</v>
      </c>
      <c r="C452" t="s">
        <v>1273</v>
      </c>
      <c r="D452" t="s">
        <v>1289</v>
      </c>
      <c r="E452">
        <v>9</v>
      </c>
      <c r="F452" s="3">
        <v>151</v>
      </c>
      <c r="G452" s="3">
        <v>1359</v>
      </c>
      <c r="H452" t="s">
        <v>1315</v>
      </c>
      <c r="I452">
        <f>MONTH(Table1_1[[#This Row],[Order Date]])</f>
        <v>11</v>
      </c>
      <c r="J452" t="str">
        <f>TEXT(Table1_1[[#This Row],[Order Date]],"[$-en-US]mmm")</f>
        <v>Nov</v>
      </c>
    </row>
    <row r="453" spans="1:10" x14ac:dyDescent="0.3">
      <c r="A453" t="s">
        <v>481</v>
      </c>
      <c r="B453" s="2">
        <v>45303</v>
      </c>
      <c r="C453" t="s">
        <v>1274</v>
      </c>
      <c r="D453" t="s">
        <v>1290</v>
      </c>
      <c r="E453">
        <v>1</v>
      </c>
      <c r="F453" s="3">
        <v>789</v>
      </c>
      <c r="G453" s="3">
        <v>789</v>
      </c>
      <c r="H453" t="s">
        <v>1315</v>
      </c>
      <c r="I453">
        <f>MONTH(Table1_1[[#This Row],[Order Date]])</f>
        <v>1</v>
      </c>
      <c r="J453" t="str">
        <f>TEXT(Table1_1[[#This Row],[Order Date]],"[$-en-US]mmm")</f>
        <v>Jan</v>
      </c>
    </row>
    <row r="454" spans="1:10" x14ac:dyDescent="0.3">
      <c r="A454" t="s">
        <v>482</v>
      </c>
      <c r="B454" s="2">
        <v>45564</v>
      </c>
      <c r="C454" t="s">
        <v>1282</v>
      </c>
      <c r="D454" t="s">
        <v>1290</v>
      </c>
      <c r="E454">
        <v>9</v>
      </c>
      <c r="F454" s="3">
        <v>449</v>
      </c>
      <c r="G454" s="3">
        <v>4041</v>
      </c>
      <c r="H454" t="s">
        <v>1316</v>
      </c>
      <c r="I454">
        <f>MONTH(Table1_1[[#This Row],[Order Date]])</f>
        <v>9</v>
      </c>
      <c r="J454" t="str">
        <f>TEXT(Table1_1[[#This Row],[Order Date]],"[$-en-US]mmm")</f>
        <v>Sep</v>
      </c>
    </row>
    <row r="455" spans="1:10" x14ac:dyDescent="0.3">
      <c r="A455" t="s">
        <v>483</v>
      </c>
      <c r="B455" s="2">
        <v>45469</v>
      </c>
      <c r="C455" t="s">
        <v>1274</v>
      </c>
      <c r="D455" t="s">
        <v>1290</v>
      </c>
      <c r="E455">
        <v>4</v>
      </c>
      <c r="F455" s="3">
        <v>486</v>
      </c>
      <c r="G455" s="3">
        <v>1944</v>
      </c>
      <c r="H455" t="s">
        <v>1313</v>
      </c>
      <c r="I455">
        <f>MONTH(Table1_1[[#This Row],[Order Date]])</f>
        <v>6</v>
      </c>
      <c r="J455" t="str">
        <f>TEXT(Table1_1[[#This Row],[Order Date]],"[$-en-US]mmm")</f>
        <v>Jun</v>
      </c>
    </row>
    <row r="456" spans="1:10" x14ac:dyDescent="0.3">
      <c r="A456" t="s">
        <v>484</v>
      </c>
      <c r="B456" s="2">
        <v>45349</v>
      </c>
      <c r="C456" t="s">
        <v>1277</v>
      </c>
      <c r="D456" t="s">
        <v>1289</v>
      </c>
      <c r="E456">
        <v>4</v>
      </c>
      <c r="F456" s="3">
        <v>757</v>
      </c>
      <c r="G456" s="3">
        <v>3028</v>
      </c>
      <c r="H456" t="s">
        <v>1314</v>
      </c>
      <c r="I456">
        <f>MONTH(Table1_1[[#This Row],[Order Date]])</f>
        <v>2</v>
      </c>
      <c r="J456" t="str">
        <f>TEXT(Table1_1[[#This Row],[Order Date]],"[$-en-US]mmm")</f>
        <v>Feb</v>
      </c>
    </row>
    <row r="457" spans="1:10" x14ac:dyDescent="0.3">
      <c r="A457" t="s">
        <v>485</v>
      </c>
      <c r="B457" s="2">
        <v>45300</v>
      </c>
      <c r="C457" t="s">
        <v>1275</v>
      </c>
      <c r="D457" t="s">
        <v>1289</v>
      </c>
      <c r="E457">
        <v>10</v>
      </c>
      <c r="F457" s="3">
        <v>799</v>
      </c>
      <c r="G457" s="3">
        <v>7990</v>
      </c>
      <c r="H457" t="s">
        <v>1313</v>
      </c>
      <c r="I457">
        <f>MONTH(Table1_1[[#This Row],[Order Date]])</f>
        <v>1</v>
      </c>
      <c r="J457" t="str">
        <f>TEXT(Table1_1[[#This Row],[Order Date]],"[$-en-US]mmm")</f>
        <v>Jan</v>
      </c>
    </row>
    <row r="458" spans="1:10" x14ac:dyDescent="0.3">
      <c r="A458" t="s">
        <v>486</v>
      </c>
      <c r="B458" s="2">
        <v>45596</v>
      </c>
      <c r="C458" t="s">
        <v>1274</v>
      </c>
      <c r="D458" t="s">
        <v>1290</v>
      </c>
      <c r="E458">
        <v>2</v>
      </c>
      <c r="F458" s="3">
        <v>118</v>
      </c>
      <c r="G458" s="3">
        <v>236</v>
      </c>
      <c r="H458" t="s">
        <v>1314</v>
      </c>
      <c r="I458">
        <f>MONTH(Table1_1[[#This Row],[Order Date]])</f>
        <v>10</v>
      </c>
      <c r="J458" t="str">
        <f>TEXT(Table1_1[[#This Row],[Order Date]],"[$-en-US]mmm")</f>
        <v>Oct</v>
      </c>
    </row>
    <row r="459" spans="1:10" x14ac:dyDescent="0.3">
      <c r="A459" t="s">
        <v>487</v>
      </c>
      <c r="B459" s="2">
        <v>45652</v>
      </c>
      <c r="C459" t="s">
        <v>1282</v>
      </c>
      <c r="D459" t="s">
        <v>1290</v>
      </c>
      <c r="E459">
        <v>10</v>
      </c>
      <c r="F459" s="3">
        <v>703</v>
      </c>
      <c r="G459" s="3">
        <v>7030</v>
      </c>
      <c r="H459" t="s">
        <v>1314</v>
      </c>
      <c r="I459">
        <f>MONTH(Table1_1[[#This Row],[Order Date]])</f>
        <v>12</v>
      </c>
      <c r="J459" t="str">
        <f>TEXT(Table1_1[[#This Row],[Order Date]],"[$-en-US]mmm")</f>
        <v>Dec</v>
      </c>
    </row>
    <row r="460" spans="1:10" x14ac:dyDescent="0.3">
      <c r="A460" t="s">
        <v>488</v>
      </c>
      <c r="B460" s="2">
        <v>45516</v>
      </c>
      <c r="C460" t="s">
        <v>1274</v>
      </c>
      <c r="D460" t="s">
        <v>1290</v>
      </c>
      <c r="E460">
        <v>1</v>
      </c>
      <c r="F460" s="3">
        <v>426</v>
      </c>
      <c r="G460" s="3">
        <v>426</v>
      </c>
      <c r="H460" t="s">
        <v>1313</v>
      </c>
      <c r="I460">
        <f>MONTH(Table1_1[[#This Row],[Order Date]])</f>
        <v>8</v>
      </c>
      <c r="J460" t="str">
        <f>TEXT(Table1_1[[#This Row],[Order Date]],"[$-en-US]mmm")</f>
        <v>Aug</v>
      </c>
    </row>
    <row r="461" spans="1:10" x14ac:dyDescent="0.3">
      <c r="A461" t="s">
        <v>489</v>
      </c>
      <c r="B461" s="2">
        <v>45549</v>
      </c>
      <c r="C461" t="s">
        <v>1274</v>
      </c>
      <c r="D461" t="s">
        <v>1290</v>
      </c>
      <c r="E461">
        <v>1</v>
      </c>
      <c r="F461" s="3">
        <v>158</v>
      </c>
      <c r="G461" s="3">
        <v>158</v>
      </c>
      <c r="H461" t="s">
        <v>1315</v>
      </c>
      <c r="I461">
        <f>MONTH(Table1_1[[#This Row],[Order Date]])</f>
        <v>9</v>
      </c>
      <c r="J461" t="str">
        <f>TEXT(Table1_1[[#This Row],[Order Date]],"[$-en-US]mmm")</f>
        <v>Sep</v>
      </c>
    </row>
    <row r="462" spans="1:10" x14ac:dyDescent="0.3">
      <c r="A462" t="s">
        <v>490</v>
      </c>
      <c r="B462" s="2">
        <v>45587</v>
      </c>
      <c r="C462" t="s">
        <v>1274</v>
      </c>
      <c r="D462" t="s">
        <v>1290</v>
      </c>
      <c r="E462">
        <v>10</v>
      </c>
      <c r="F462" s="3">
        <v>341</v>
      </c>
      <c r="G462" s="3">
        <v>3410</v>
      </c>
      <c r="H462" t="s">
        <v>1315</v>
      </c>
      <c r="I462">
        <f>MONTH(Table1_1[[#This Row],[Order Date]])</f>
        <v>10</v>
      </c>
      <c r="J462" t="str">
        <f>TEXT(Table1_1[[#This Row],[Order Date]],"[$-en-US]mmm")</f>
        <v>Oct</v>
      </c>
    </row>
    <row r="463" spans="1:10" x14ac:dyDescent="0.3">
      <c r="A463" t="s">
        <v>491</v>
      </c>
      <c r="B463" s="2">
        <v>45630</v>
      </c>
      <c r="C463" t="s">
        <v>1274</v>
      </c>
      <c r="D463" t="s">
        <v>1290</v>
      </c>
      <c r="E463">
        <v>5</v>
      </c>
      <c r="F463" s="3">
        <v>161</v>
      </c>
      <c r="G463" s="3">
        <v>805</v>
      </c>
      <c r="H463" t="s">
        <v>1313</v>
      </c>
      <c r="I463">
        <f>MONTH(Table1_1[[#This Row],[Order Date]])</f>
        <v>12</v>
      </c>
      <c r="J463" t="str">
        <f>TEXT(Table1_1[[#This Row],[Order Date]],"[$-en-US]mmm")</f>
        <v>Dec</v>
      </c>
    </row>
    <row r="464" spans="1:10" x14ac:dyDescent="0.3">
      <c r="A464" t="s">
        <v>492</v>
      </c>
      <c r="B464" s="2">
        <v>45323</v>
      </c>
      <c r="C464" t="s">
        <v>1275</v>
      </c>
      <c r="D464" t="s">
        <v>1289</v>
      </c>
      <c r="E464">
        <v>5</v>
      </c>
      <c r="F464" s="3">
        <v>296</v>
      </c>
      <c r="G464" s="3">
        <v>1480</v>
      </c>
      <c r="H464" t="s">
        <v>1313</v>
      </c>
      <c r="I464">
        <f>MONTH(Table1_1[[#This Row],[Order Date]])</f>
        <v>2</v>
      </c>
      <c r="J464" t="str">
        <f>TEXT(Table1_1[[#This Row],[Order Date]],"[$-en-US]mmm")</f>
        <v>Feb</v>
      </c>
    </row>
    <row r="465" spans="1:10" x14ac:dyDescent="0.3">
      <c r="A465" t="s">
        <v>493</v>
      </c>
      <c r="B465" s="2">
        <v>45316</v>
      </c>
      <c r="C465" t="s">
        <v>1275</v>
      </c>
      <c r="D465" t="s">
        <v>1289</v>
      </c>
      <c r="E465">
        <v>9</v>
      </c>
      <c r="F465" s="3">
        <v>522</v>
      </c>
      <c r="G465" s="3">
        <v>4698</v>
      </c>
      <c r="H465" t="s">
        <v>1315</v>
      </c>
      <c r="I465">
        <f>MONTH(Table1_1[[#This Row],[Order Date]])</f>
        <v>1</v>
      </c>
      <c r="J465" t="str">
        <f>TEXT(Table1_1[[#This Row],[Order Date]],"[$-en-US]mmm")</f>
        <v>Jan</v>
      </c>
    </row>
    <row r="466" spans="1:10" x14ac:dyDescent="0.3">
      <c r="A466" t="s">
        <v>494</v>
      </c>
      <c r="B466" s="2">
        <v>45648</v>
      </c>
      <c r="C466" t="s">
        <v>1275</v>
      </c>
      <c r="D466" t="s">
        <v>1289</v>
      </c>
      <c r="E466">
        <v>9</v>
      </c>
      <c r="F466" s="3">
        <v>341</v>
      </c>
      <c r="G466" s="3">
        <v>3069</v>
      </c>
      <c r="H466" t="s">
        <v>1316</v>
      </c>
      <c r="I466">
        <f>MONTH(Table1_1[[#This Row],[Order Date]])</f>
        <v>12</v>
      </c>
      <c r="J466" t="str">
        <f>TEXT(Table1_1[[#This Row],[Order Date]],"[$-en-US]mmm")</f>
        <v>Dec</v>
      </c>
    </row>
    <row r="467" spans="1:10" x14ac:dyDescent="0.3">
      <c r="A467" t="s">
        <v>495</v>
      </c>
      <c r="B467" s="2">
        <v>45484</v>
      </c>
      <c r="C467" t="s">
        <v>1275</v>
      </c>
      <c r="D467" t="s">
        <v>1289</v>
      </c>
      <c r="E467">
        <v>3</v>
      </c>
      <c r="F467" s="3">
        <v>322</v>
      </c>
      <c r="G467" s="3">
        <v>966</v>
      </c>
      <c r="H467" t="s">
        <v>1313</v>
      </c>
      <c r="I467">
        <f>MONTH(Table1_1[[#This Row],[Order Date]])</f>
        <v>7</v>
      </c>
      <c r="J467" t="str">
        <f>TEXT(Table1_1[[#This Row],[Order Date]],"[$-en-US]mmm")</f>
        <v>Jul</v>
      </c>
    </row>
    <row r="468" spans="1:10" x14ac:dyDescent="0.3">
      <c r="A468" t="s">
        <v>496</v>
      </c>
      <c r="B468" s="2">
        <v>45407</v>
      </c>
      <c r="C468" t="s">
        <v>1282</v>
      </c>
      <c r="D468" t="s">
        <v>1290</v>
      </c>
      <c r="E468">
        <v>4</v>
      </c>
      <c r="F468" s="3">
        <v>884</v>
      </c>
      <c r="G468" s="3">
        <v>3536</v>
      </c>
      <c r="H468" t="s">
        <v>1315</v>
      </c>
      <c r="I468">
        <f>MONTH(Table1_1[[#This Row],[Order Date]])</f>
        <v>4</v>
      </c>
      <c r="J468" t="str">
        <f>TEXT(Table1_1[[#This Row],[Order Date]],"[$-en-US]mmm")</f>
        <v>Apr</v>
      </c>
    </row>
    <row r="469" spans="1:10" x14ac:dyDescent="0.3">
      <c r="A469" t="s">
        <v>497</v>
      </c>
      <c r="B469" s="2">
        <v>45579</v>
      </c>
      <c r="C469" t="s">
        <v>1279</v>
      </c>
      <c r="D469" t="s">
        <v>1289</v>
      </c>
      <c r="E469">
        <v>8</v>
      </c>
      <c r="F469" s="3">
        <v>74</v>
      </c>
      <c r="G469" s="3">
        <v>592</v>
      </c>
      <c r="H469" t="s">
        <v>1316</v>
      </c>
      <c r="I469">
        <f>MONTH(Table1_1[[#This Row],[Order Date]])</f>
        <v>10</v>
      </c>
      <c r="J469" t="str">
        <f>TEXT(Table1_1[[#This Row],[Order Date]],"[$-en-US]mmm")</f>
        <v>Oct</v>
      </c>
    </row>
    <row r="470" spans="1:10" x14ac:dyDescent="0.3">
      <c r="A470" t="s">
        <v>498</v>
      </c>
      <c r="B470" s="2">
        <v>45360</v>
      </c>
      <c r="C470" t="s">
        <v>1275</v>
      </c>
      <c r="D470" t="s">
        <v>1289</v>
      </c>
      <c r="E470">
        <v>9</v>
      </c>
      <c r="F470" s="3">
        <v>557</v>
      </c>
      <c r="G470" s="3">
        <v>5013</v>
      </c>
      <c r="H470" t="s">
        <v>1316</v>
      </c>
      <c r="I470">
        <f>MONTH(Table1_1[[#This Row],[Order Date]])</f>
        <v>3</v>
      </c>
      <c r="J470" t="str">
        <f>TEXT(Table1_1[[#This Row],[Order Date]],"[$-en-US]mmm")</f>
        <v>Mar</v>
      </c>
    </row>
    <row r="471" spans="1:10" x14ac:dyDescent="0.3">
      <c r="A471" t="s">
        <v>499</v>
      </c>
      <c r="B471" s="2">
        <v>45461</v>
      </c>
      <c r="C471" t="s">
        <v>1274</v>
      </c>
      <c r="D471" t="s">
        <v>1290</v>
      </c>
      <c r="E471">
        <v>5</v>
      </c>
      <c r="F471" s="3">
        <v>223</v>
      </c>
      <c r="G471" s="3">
        <v>1115</v>
      </c>
      <c r="H471" t="s">
        <v>1314</v>
      </c>
      <c r="I471">
        <f>MONTH(Table1_1[[#This Row],[Order Date]])</f>
        <v>6</v>
      </c>
      <c r="J471" t="str">
        <f>TEXT(Table1_1[[#This Row],[Order Date]],"[$-en-US]mmm")</f>
        <v>Jun</v>
      </c>
    </row>
    <row r="472" spans="1:10" x14ac:dyDescent="0.3">
      <c r="A472" t="s">
        <v>500</v>
      </c>
      <c r="B472" s="2">
        <v>45566</v>
      </c>
      <c r="C472" t="s">
        <v>1282</v>
      </c>
      <c r="D472" t="s">
        <v>1290</v>
      </c>
      <c r="E472">
        <v>6</v>
      </c>
      <c r="F472" s="3">
        <v>109</v>
      </c>
      <c r="G472" s="3">
        <v>654</v>
      </c>
      <c r="H472" t="s">
        <v>1313</v>
      </c>
      <c r="I472">
        <f>MONTH(Table1_1[[#This Row],[Order Date]])</f>
        <v>10</v>
      </c>
      <c r="J472" t="str">
        <f>TEXT(Table1_1[[#This Row],[Order Date]],"[$-en-US]mmm")</f>
        <v>Oct</v>
      </c>
    </row>
    <row r="473" spans="1:10" x14ac:dyDescent="0.3">
      <c r="A473" t="s">
        <v>501</v>
      </c>
      <c r="B473" s="2">
        <v>45636</v>
      </c>
      <c r="C473" t="s">
        <v>1276</v>
      </c>
      <c r="D473" t="s">
        <v>1290</v>
      </c>
      <c r="E473">
        <v>5</v>
      </c>
      <c r="F473" s="3">
        <v>401</v>
      </c>
      <c r="G473" s="3">
        <v>2005</v>
      </c>
      <c r="H473" t="s">
        <v>1314</v>
      </c>
      <c r="I473">
        <f>MONTH(Table1_1[[#This Row],[Order Date]])</f>
        <v>12</v>
      </c>
      <c r="J473" t="str">
        <f>TEXT(Table1_1[[#This Row],[Order Date]],"[$-en-US]mmm")</f>
        <v>Dec</v>
      </c>
    </row>
    <row r="474" spans="1:10" x14ac:dyDescent="0.3">
      <c r="A474" t="s">
        <v>502</v>
      </c>
      <c r="B474" s="2">
        <v>45592</v>
      </c>
      <c r="C474" t="s">
        <v>1273</v>
      </c>
      <c r="D474" t="s">
        <v>1289</v>
      </c>
      <c r="E474">
        <v>4</v>
      </c>
      <c r="F474" s="3">
        <v>838</v>
      </c>
      <c r="G474" s="3">
        <v>3352</v>
      </c>
      <c r="H474" t="s">
        <v>1313</v>
      </c>
      <c r="I474">
        <f>MONTH(Table1_1[[#This Row],[Order Date]])</f>
        <v>10</v>
      </c>
      <c r="J474" t="str">
        <f>TEXT(Table1_1[[#This Row],[Order Date]],"[$-en-US]mmm")</f>
        <v>Oct</v>
      </c>
    </row>
    <row r="475" spans="1:10" x14ac:dyDescent="0.3">
      <c r="A475" t="s">
        <v>503</v>
      </c>
      <c r="B475" s="2">
        <v>45447</v>
      </c>
      <c r="C475" t="s">
        <v>1282</v>
      </c>
      <c r="D475" t="s">
        <v>1290</v>
      </c>
      <c r="E475">
        <v>4</v>
      </c>
      <c r="F475" s="3">
        <v>355</v>
      </c>
      <c r="G475" s="3">
        <v>1420</v>
      </c>
      <c r="H475" t="s">
        <v>1314</v>
      </c>
      <c r="I475">
        <f>MONTH(Table1_1[[#This Row],[Order Date]])</f>
        <v>6</v>
      </c>
      <c r="J475" t="str">
        <f>TEXT(Table1_1[[#This Row],[Order Date]],"[$-en-US]mmm")</f>
        <v>Jun</v>
      </c>
    </row>
    <row r="476" spans="1:10" x14ac:dyDescent="0.3">
      <c r="A476" t="s">
        <v>504</v>
      </c>
      <c r="B476" s="2">
        <v>45352</v>
      </c>
      <c r="C476" t="s">
        <v>1274</v>
      </c>
      <c r="D476" t="s">
        <v>1290</v>
      </c>
      <c r="E476">
        <v>4</v>
      </c>
      <c r="F476" s="3">
        <v>774</v>
      </c>
      <c r="G476" s="3">
        <v>3096</v>
      </c>
      <c r="H476" t="s">
        <v>1316</v>
      </c>
      <c r="I476">
        <f>MONTH(Table1_1[[#This Row],[Order Date]])</f>
        <v>3</v>
      </c>
      <c r="J476" t="str">
        <f>TEXT(Table1_1[[#This Row],[Order Date]],"[$-en-US]mmm")</f>
        <v>Mar</v>
      </c>
    </row>
    <row r="477" spans="1:10" x14ac:dyDescent="0.3">
      <c r="A477" t="s">
        <v>505</v>
      </c>
      <c r="B477" s="2">
        <v>45396</v>
      </c>
      <c r="C477" t="s">
        <v>1274</v>
      </c>
      <c r="D477" t="s">
        <v>1290</v>
      </c>
      <c r="E477">
        <v>10</v>
      </c>
      <c r="F477" s="3">
        <v>735</v>
      </c>
      <c r="G477" s="3">
        <v>7350</v>
      </c>
      <c r="H477" t="s">
        <v>1316</v>
      </c>
      <c r="I477">
        <f>MONTH(Table1_1[[#This Row],[Order Date]])</f>
        <v>4</v>
      </c>
      <c r="J477" t="str">
        <f>TEXT(Table1_1[[#This Row],[Order Date]],"[$-en-US]mmm")</f>
        <v>Apr</v>
      </c>
    </row>
    <row r="478" spans="1:10" x14ac:dyDescent="0.3">
      <c r="A478" t="s">
        <v>506</v>
      </c>
      <c r="B478" s="2">
        <v>45436</v>
      </c>
      <c r="C478" t="s">
        <v>1274</v>
      </c>
      <c r="D478" t="s">
        <v>1290</v>
      </c>
      <c r="E478">
        <v>9</v>
      </c>
      <c r="F478" s="3">
        <v>344</v>
      </c>
      <c r="G478" s="3">
        <v>3096</v>
      </c>
      <c r="H478" t="s">
        <v>1316</v>
      </c>
      <c r="I478">
        <f>MONTH(Table1_1[[#This Row],[Order Date]])</f>
        <v>5</v>
      </c>
      <c r="J478" t="str">
        <f>TEXT(Table1_1[[#This Row],[Order Date]],"[$-en-US]mmm")</f>
        <v>May</v>
      </c>
    </row>
    <row r="479" spans="1:10" x14ac:dyDescent="0.3">
      <c r="A479" t="s">
        <v>507</v>
      </c>
      <c r="B479" s="2">
        <v>45475</v>
      </c>
      <c r="C479" t="s">
        <v>1282</v>
      </c>
      <c r="D479" t="s">
        <v>1290</v>
      </c>
      <c r="E479">
        <v>9</v>
      </c>
      <c r="F479" s="3">
        <v>679</v>
      </c>
      <c r="G479" s="3">
        <v>6111</v>
      </c>
      <c r="H479" t="s">
        <v>1315</v>
      </c>
      <c r="I479">
        <f>MONTH(Table1_1[[#This Row],[Order Date]])</f>
        <v>7</v>
      </c>
      <c r="J479" t="str">
        <f>TEXT(Table1_1[[#This Row],[Order Date]],"[$-en-US]mmm")</f>
        <v>Jul</v>
      </c>
    </row>
    <row r="480" spans="1:10" x14ac:dyDescent="0.3">
      <c r="A480" t="s">
        <v>508</v>
      </c>
      <c r="B480" s="2">
        <v>45546</v>
      </c>
      <c r="C480" t="s">
        <v>1277</v>
      </c>
      <c r="D480" t="s">
        <v>1289</v>
      </c>
      <c r="E480">
        <v>6</v>
      </c>
      <c r="F480" s="3">
        <v>540</v>
      </c>
      <c r="G480" s="3">
        <v>3240</v>
      </c>
      <c r="H480" t="s">
        <v>1316</v>
      </c>
      <c r="I480">
        <f>MONTH(Table1_1[[#This Row],[Order Date]])</f>
        <v>9</v>
      </c>
      <c r="J480" t="str">
        <f>TEXT(Table1_1[[#This Row],[Order Date]],"[$-en-US]mmm")</f>
        <v>Sep</v>
      </c>
    </row>
    <row r="481" spans="1:10" x14ac:dyDescent="0.3">
      <c r="A481" t="s">
        <v>509</v>
      </c>
      <c r="B481" s="2">
        <v>45455</v>
      </c>
      <c r="C481" t="s">
        <v>1273</v>
      </c>
      <c r="D481" t="s">
        <v>1289</v>
      </c>
      <c r="E481">
        <v>8</v>
      </c>
      <c r="F481" s="3">
        <v>794</v>
      </c>
      <c r="G481" s="3">
        <v>6352</v>
      </c>
      <c r="H481" t="s">
        <v>1313</v>
      </c>
      <c r="I481">
        <f>MONTH(Table1_1[[#This Row],[Order Date]])</f>
        <v>6</v>
      </c>
      <c r="J481" t="str">
        <f>TEXT(Table1_1[[#This Row],[Order Date]],"[$-en-US]mmm")</f>
        <v>Jun</v>
      </c>
    </row>
    <row r="482" spans="1:10" x14ac:dyDescent="0.3">
      <c r="A482" t="s">
        <v>510</v>
      </c>
      <c r="B482" s="2">
        <v>45315</v>
      </c>
      <c r="C482" t="s">
        <v>1280</v>
      </c>
      <c r="D482" t="s">
        <v>1290</v>
      </c>
      <c r="E482">
        <v>6</v>
      </c>
      <c r="F482" s="3">
        <v>438</v>
      </c>
      <c r="G482" s="3">
        <v>2628</v>
      </c>
      <c r="H482" t="s">
        <v>1313</v>
      </c>
      <c r="I482">
        <f>MONTH(Table1_1[[#This Row],[Order Date]])</f>
        <v>1</v>
      </c>
      <c r="J482" t="str">
        <f>TEXT(Table1_1[[#This Row],[Order Date]],"[$-en-US]mmm")</f>
        <v>Jan</v>
      </c>
    </row>
    <row r="483" spans="1:10" x14ac:dyDescent="0.3">
      <c r="A483" t="s">
        <v>511</v>
      </c>
      <c r="B483" s="2">
        <v>45575</v>
      </c>
      <c r="C483" t="s">
        <v>1279</v>
      </c>
      <c r="D483" t="s">
        <v>1289</v>
      </c>
      <c r="E483">
        <v>1</v>
      </c>
      <c r="F483" s="3">
        <v>282</v>
      </c>
      <c r="G483" s="3">
        <v>282</v>
      </c>
      <c r="H483" t="s">
        <v>1316</v>
      </c>
      <c r="I483">
        <f>MONTH(Table1_1[[#This Row],[Order Date]])</f>
        <v>10</v>
      </c>
      <c r="J483" t="str">
        <f>TEXT(Table1_1[[#This Row],[Order Date]],"[$-en-US]mmm")</f>
        <v>Oct</v>
      </c>
    </row>
    <row r="484" spans="1:10" x14ac:dyDescent="0.3">
      <c r="A484" t="s">
        <v>512</v>
      </c>
      <c r="B484" s="2">
        <v>45460</v>
      </c>
      <c r="C484" t="s">
        <v>1277</v>
      </c>
      <c r="D484" t="s">
        <v>1289</v>
      </c>
      <c r="E484">
        <v>3</v>
      </c>
      <c r="F484" s="3">
        <v>215</v>
      </c>
      <c r="G484" s="3">
        <v>645</v>
      </c>
      <c r="H484" t="s">
        <v>1313</v>
      </c>
      <c r="I484">
        <f>MONTH(Table1_1[[#This Row],[Order Date]])</f>
        <v>6</v>
      </c>
      <c r="J484" t="str">
        <f>TEXT(Table1_1[[#This Row],[Order Date]],"[$-en-US]mmm")</f>
        <v>Jun</v>
      </c>
    </row>
    <row r="485" spans="1:10" x14ac:dyDescent="0.3">
      <c r="A485" t="s">
        <v>513</v>
      </c>
      <c r="B485" s="2">
        <v>45417</v>
      </c>
      <c r="C485" t="s">
        <v>1275</v>
      </c>
      <c r="D485" t="s">
        <v>1289</v>
      </c>
      <c r="E485">
        <v>10</v>
      </c>
      <c r="F485" s="3">
        <v>868</v>
      </c>
      <c r="G485" s="3">
        <v>8680</v>
      </c>
      <c r="H485" t="s">
        <v>1316</v>
      </c>
      <c r="I485">
        <f>MONTH(Table1_1[[#This Row],[Order Date]])</f>
        <v>5</v>
      </c>
      <c r="J485" t="str">
        <f>TEXT(Table1_1[[#This Row],[Order Date]],"[$-en-US]mmm")</f>
        <v>May</v>
      </c>
    </row>
    <row r="486" spans="1:10" x14ac:dyDescent="0.3">
      <c r="A486" t="s">
        <v>514</v>
      </c>
      <c r="B486" s="2">
        <v>45542</v>
      </c>
      <c r="C486" t="s">
        <v>1280</v>
      </c>
      <c r="D486" t="s">
        <v>1290</v>
      </c>
      <c r="E486">
        <v>5</v>
      </c>
      <c r="F486" s="3">
        <v>796</v>
      </c>
      <c r="G486" s="3">
        <v>3980</v>
      </c>
      <c r="H486" t="s">
        <v>1316</v>
      </c>
      <c r="I486">
        <f>MONTH(Table1_1[[#This Row],[Order Date]])</f>
        <v>9</v>
      </c>
      <c r="J486" t="str">
        <f>TEXT(Table1_1[[#This Row],[Order Date]],"[$-en-US]mmm")</f>
        <v>Sep</v>
      </c>
    </row>
    <row r="487" spans="1:10" x14ac:dyDescent="0.3">
      <c r="A487" t="s">
        <v>515</v>
      </c>
      <c r="B487" s="2">
        <v>45472</v>
      </c>
      <c r="C487" t="s">
        <v>1282</v>
      </c>
      <c r="D487" t="s">
        <v>1290</v>
      </c>
      <c r="E487">
        <v>3</v>
      </c>
      <c r="F487" s="3">
        <v>765</v>
      </c>
      <c r="G487" s="3">
        <v>2295</v>
      </c>
      <c r="H487" t="s">
        <v>1313</v>
      </c>
      <c r="I487">
        <f>MONTH(Table1_1[[#This Row],[Order Date]])</f>
        <v>6</v>
      </c>
      <c r="J487" t="str">
        <f>TEXT(Table1_1[[#This Row],[Order Date]],"[$-en-US]mmm")</f>
        <v>Jun</v>
      </c>
    </row>
    <row r="488" spans="1:10" x14ac:dyDescent="0.3">
      <c r="A488" t="s">
        <v>516</v>
      </c>
      <c r="B488" s="2">
        <v>45386</v>
      </c>
      <c r="C488" t="s">
        <v>1279</v>
      </c>
      <c r="D488" t="s">
        <v>1289</v>
      </c>
      <c r="E488">
        <v>9</v>
      </c>
      <c r="F488" s="3">
        <v>515</v>
      </c>
      <c r="G488" s="3">
        <v>4635</v>
      </c>
      <c r="H488" t="s">
        <v>1314</v>
      </c>
      <c r="I488">
        <f>MONTH(Table1_1[[#This Row],[Order Date]])</f>
        <v>4</v>
      </c>
      <c r="J488" t="str">
        <f>TEXT(Table1_1[[#This Row],[Order Date]],"[$-en-US]mmm")</f>
        <v>Apr</v>
      </c>
    </row>
    <row r="489" spans="1:10" x14ac:dyDescent="0.3">
      <c r="A489" t="s">
        <v>517</v>
      </c>
      <c r="B489" s="2">
        <v>45634</v>
      </c>
      <c r="C489" t="s">
        <v>1276</v>
      </c>
      <c r="D489" t="s">
        <v>1290</v>
      </c>
      <c r="E489">
        <v>2</v>
      </c>
      <c r="F489" s="3">
        <v>852</v>
      </c>
      <c r="G489" s="3">
        <v>1704</v>
      </c>
      <c r="H489" t="s">
        <v>1314</v>
      </c>
      <c r="I489">
        <f>MONTH(Table1_1[[#This Row],[Order Date]])</f>
        <v>12</v>
      </c>
      <c r="J489" t="str">
        <f>TEXT(Table1_1[[#This Row],[Order Date]],"[$-en-US]mmm")</f>
        <v>Dec</v>
      </c>
    </row>
    <row r="490" spans="1:10" x14ac:dyDescent="0.3">
      <c r="A490" t="s">
        <v>518</v>
      </c>
      <c r="B490" s="2">
        <v>45614</v>
      </c>
      <c r="C490" t="s">
        <v>1276</v>
      </c>
      <c r="D490" t="s">
        <v>1290</v>
      </c>
      <c r="E490">
        <v>7</v>
      </c>
      <c r="F490" s="3">
        <v>155</v>
      </c>
      <c r="G490" s="3">
        <v>1085</v>
      </c>
      <c r="H490" t="s">
        <v>1313</v>
      </c>
      <c r="I490">
        <f>MONTH(Table1_1[[#This Row],[Order Date]])</f>
        <v>11</v>
      </c>
      <c r="J490" t="str">
        <f>TEXT(Table1_1[[#This Row],[Order Date]],"[$-en-US]mmm")</f>
        <v>Nov</v>
      </c>
    </row>
    <row r="491" spans="1:10" x14ac:dyDescent="0.3">
      <c r="A491" t="s">
        <v>519</v>
      </c>
      <c r="B491" s="2">
        <v>45403</v>
      </c>
      <c r="C491" t="s">
        <v>1273</v>
      </c>
      <c r="D491" t="s">
        <v>1289</v>
      </c>
      <c r="E491">
        <v>3</v>
      </c>
      <c r="F491" s="3">
        <v>24</v>
      </c>
      <c r="G491" s="3">
        <v>72</v>
      </c>
      <c r="H491" t="s">
        <v>1316</v>
      </c>
      <c r="I491">
        <f>MONTH(Table1_1[[#This Row],[Order Date]])</f>
        <v>4</v>
      </c>
      <c r="J491" t="str">
        <f>TEXT(Table1_1[[#This Row],[Order Date]],"[$-en-US]mmm")</f>
        <v>Apr</v>
      </c>
    </row>
    <row r="492" spans="1:10" x14ac:dyDescent="0.3">
      <c r="A492" t="s">
        <v>520</v>
      </c>
      <c r="B492" s="2">
        <v>45618</v>
      </c>
      <c r="C492" t="s">
        <v>1280</v>
      </c>
      <c r="D492" t="s">
        <v>1290</v>
      </c>
      <c r="E492">
        <v>1</v>
      </c>
      <c r="F492" s="3">
        <v>647</v>
      </c>
      <c r="G492" s="3">
        <v>647</v>
      </c>
      <c r="H492" t="s">
        <v>1316</v>
      </c>
      <c r="I492">
        <f>MONTH(Table1_1[[#This Row],[Order Date]])</f>
        <v>11</v>
      </c>
      <c r="J492" t="str">
        <f>TEXT(Table1_1[[#This Row],[Order Date]],"[$-en-US]mmm")</f>
        <v>Nov</v>
      </c>
    </row>
    <row r="493" spans="1:10" x14ac:dyDescent="0.3">
      <c r="A493" t="s">
        <v>521</v>
      </c>
      <c r="B493" s="2">
        <v>45564</v>
      </c>
      <c r="C493" t="s">
        <v>1282</v>
      </c>
      <c r="D493" t="s">
        <v>1290</v>
      </c>
      <c r="E493">
        <v>1</v>
      </c>
      <c r="F493" s="3">
        <v>21</v>
      </c>
      <c r="G493" s="3">
        <v>21</v>
      </c>
      <c r="H493" t="s">
        <v>1316</v>
      </c>
      <c r="I493">
        <f>MONTH(Table1_1[[#This Row],[Order Date]])</f>
        <v>9</v>
      </c>
      <c r="J493" t="str">
        <f>TEXT(Table1_1[[#This Row],[Order Date]],"[$-en-US]mmm")</f>
        <v>Sep</v>
      </c>
    </row>
    <row r="494" spans="1:10" x14ac:dyDescent="0.3">
      <c r="A494" t="s">
        <v>522</v>
      </c>
      <c r="B494" s="2">
        <v>45432</v>
      </c>
      <c r="C494" t="s">
        <v>1276</v>
      </c>
      <c r="D494" t="s">
        <v>1290</v>
      </c>
      <c r="E494">
        <v>1</v>
      </c>
      <c r="F494" s="3">
        <v>557</v>
      </c>
      <c r="G494" s="3">
        <v>557</v>
      </c>
      <c r="H494" t="s">
        <v>1315</v>
      </c>
      <c r="I494">
        <f>MONTH(Table1_1[[#This Row],[Order Date]])</f>
        <v>5</v>
      </c>
      <c r="J494" t="str">
        <f>TEXT(Table1_1[[#This Row],[Order Date]],"[$-en-US]mmm")</f>
        <v>May</v>
      </c>
    </row>
    <row r="495" spans="1:10" x14ac:dyDescent="0.3">
      <c r="A495" t="s">
        <v>523</v>
      </c>
      <c r="B495" s="2">
        <v>45649</v>
      </c>
      <c r="C495" t="s">
        <v>1276</v>
      </c>
      <c r="D495" t="s">
        <v>1290</v>
      </c>
      <c r="E495">
        <v>9</v>
      </c>
      <c r="F495" s="3">
        <v>847</v>
      </c>
      <c r="G495" s="3">
        <v>7623</v>
      </c>
      <c r="H495" t="s">
        <v>1316</v>
      </c>
      <c r="I495">
        <f>MONTH(Table1_1[[#This Row],[Order Date]])</f>
        <v>12</v>
      </c>
      <c r="J495" t="str">
        <f>TEXT(Table1_1[[#This Row],[Order Date]],"[$-en-US]mmm")</f>
        <v>Dec</v>
      </c>
    </row>
    <row r="496" spans="1:10" x14ac:dyDescent="0.3">
      <c r="A496" t="s">
        <v>524</v>
      </c>
      <c r="B496" s="2">
        <v>45560</v>
      </c>
      <c r="C496" t="s">
        <v>1279</v>
      </c>
      <c r="D496" t="s">
        <v>1289</v>
      </c>
      <c r="E496">
        <v>2</v>
      </c>
      <c r="F496" s="3">
        <v>113</v>
      </c>
      <c r="G496" s="3">
        <v>226</v>
      </c>
      <c r="H496" t="s">
        <v>1313</v>
      </c>
      <c r="I496">
        <f>MONTH(Table1_1[[#This Row],[Order Date]])</f>
        <v>9</v>
      </c>
      <c r="J496" t="str">
        <f>TEXT(Table1_1[[#This Row],[Order Date]],"[$-en-US]mmm")</f>
        <v>Sep</v>
      </c>
    </row>
    <row r="497" spans="1:10" x14ac:dyDescent="0.3">
      <c r="A497" t="s">
        <v>525</v>
      </c>
      <c r="B497" s="2">
        <v>45561</v>
      </c>
      <c r="C497" t="s">
        <v>1274</v>
      </c>
      <c r="D497" t="s">
        <v>1290</v>
      </c>
      <c r="E497">
        <v>4</v>
      </c>
      <c r="F497" s="3">
        <v>649</v>
      </c>
      <c r="G497" s="3">
        <v>2596</v>
      </c>
      <c r="H497" t="s">
        <v>1315</v>
      </c>
      <c r="I497">
        <f>MONTH(Table1_1[[#This Row],[Order Date]])</f>
        <v>9</v>
      </c>
      <c r="J497" t="str">
        <f>TEXT(Table1_1[[#This Row],[Order Date]],"[$-en-US]mmm")</f>
        <v>Sep</v>
      </c>
    </row>
    <row r="498" spans="1:10" x14ac:dyDescent="0.3">
      <c r="A498" t="s">
        <v>526</v>
      </c>
      <c r="B498" s="2">
        <v>45495</v>
      </c>
      <c r="C498" t="s">
        <v>1280</v>
      </c>
      <c r="D498" t="s">
        <v>1290</v>
      </c>
      <c r="E498">
        <v>5</v>
      </c>
      <c r="F498" s="3">
        <v>829</v>
      </c>
      <c r="G498" s="3">
        <v>4145</v>
      </c>
      <c r="H498" t="s">
        <v>1314</v>
      </c>
      <c r="I498">
        <f>MONTH(Table1_1[[#This Row],[Order Date]])</f>
        <v>7</v>
      </c>
      <c r="J498" t="str">
        <f>TEXT(Table1_1[[#This Row],[Order Date]],"[$-en-US]mmm")</f>
        <v>Jul</v>
      </c>
    </row>
    <row r="499" spans="1:10" x14ac:dyDescent="0.3">
      <c r="A499" t="s">
        <v>527</v>
      </c>
      <c r="B499" s="2">
        <v>45581</v>
      </c>
      <c r="C499" t="s">
        <v>1280</v>
      </c>
      <c r="D499" t="s">
        <v>1290</v>
      </c>
      <c r="E499">
        <v>7</v>
      </c>
      <c r="F499" s="3">
        <v>485</v>
      </c>
      <c r="G499" s="3">
        <v>3395</v>
      </c>
      <c r="H499" t="s">
        <v>1313</v>
      </c>
      <c r="I499">
        <f>MONTH(Table1_1[[#This Row],[Order Date]])</f>
        <v>10</v>
      </c>
      <c r="J499" t="str">
        <f>TEXT(Table1_1[[#This Row],[Order Date]],"[$-en-US]mmm")</f>
        <v>Oct</v>
      </c>
    </row>
    <row r="500" spans="1:10" x14ac:dyDescent="0.3">
      <c r="A500" t="s">
        <v>528</v>
      </c>
      <c r="B500" s="2">
        <v>45333</v>
      </c>
      <c r="C500" t="s">
        <v>1274</v>
      </c>
      <c r="D500" t="s">
        <v>1290</v>
      </c>
      <c r="E500">
        <v>5</v>
      </c>
      <c r="F500" s="3">
        <v>715</v>
      </c>
      <c r="G500" s="3">
        <v>3575</v>
      </c>
      <c r="H500" t="s">
        <v>1314</v>
      </c>
      <c r="I500">
        <f>MONTH(Table1_1[[#This Row],[Order Date]])</f>
        <v>2</v>
      </c>
      <c r="J500" t="str">
        <f>TEXT(Table1_1[[#This Row],[Order Date]],"[$-en-US]mmm")</f>
        <v>Feb</v>
      </c>
    </row>
    <row r="501" spans="1:10" x14ac:dyDescent="0.3">
      <c r="A501" t="s">
        <v>529</v>
      </c>
      <c r="B501" s="2">
        <v>45485</v>
      </c>
      <c r="C501" t="s">
        <v>1273</v>
      </c>
      <c r="D501" t="s">
        <v>1289</v>
      </c>
      <c r="E501">
        <v>7</v>
      </c>
      <c r="F501" s="3">
        <v>403</v>
      </c>
      <c r="G501" s="3">
        <v>2821</v>
      </c>
      <c r="H501" t="s">
        <v>1316</v>
      </c>
      <c r="I501">
        <f>MONTH(Table1_1[[#This Row],[Order Date]])</f>
        <v>7</v>
      </c>
      <c r="J501" t="str">
        <f>TEXT(Table1_1[[#This Row],[Order Date]],"[$-en-US]mmm")</f>
        <v>Jul</v>
      </c>
    </row>
    <row r="502" spans="1:10" x14ac:dyDescent="0.3">
      <c r="A502" t="s">
        <v>530</v>
      </c>
      <c r="B502" s="2">
        <v>45379</v>
      </c>
      <c r="C502" t="s">
        <v>1276</v>
      </c>
      <c r="D502" t="s">
        <v>1290</v>
      </c>
      <c r="E502">
        <v>1</v>
      </c>
      <c r="F502" s="3">
        <v>734</v>
      </c>
      <c r="G502" s="3">
        <v>734</v>
      </c>
      <c r="H502" t="s">
        <v>1314</v>
      </c>
      <c r="I502">
        <f>MONTH(Table1_1[[#This Row],[Order Date]])</f>
        <v>3</v>
      </c>
      <c r="J502" t="str">
        <f>TEXT(Table1_1[[#This Row],[Order Date]],"[$-en-US]mmm")</f>
        <v>Mar</v>
      </c>
    </row>
    <row r="503" spans="1:10" x14ac:dyDescent="0.3">
      <c r="A503" t="s">
        <v>531</v>
      </c>
      <c r="B503" s="2">
        <v>45461</v>
      </c>
      <c r="C503" t="s">
        <v>1282</v>
      </c>
      <c r="D503" t="s">
        <v>1290</v>
      </c>
      <c r="E503">
        <v>7</v>
      </c>
      <c r="F503" s="3">
        <v>675</v>
      </c>
      <c r="G503" s="3">
        <v>4725</v>
      </c>
      <c r="H503" t="s">
        <v>1314</v>
      </c>
      <c r="I503">
        <f>MONTH(Table1_1[[#This Row],[Order Date]])</f>
        <v>6</v>
      </c>
      <c r="J503" t="str">
        <f>TEXT(Table1_1[[#This Row],[Order Date]],"[$-en-US]mmm")</f>
        <v>Jun</v>
      </c>
    </row>
    <row r="504" spans="1:10" x14ac:dyDescent="0.3">
      <c r="A504" t="s">
        <v>533</v>
      </c>
      <c r="B504" s="2">
        <v>45642</v>
      </c>
      <c r="C504" t="s">
        <v>1277</v>
      </c>
      <c r="D504" t="s">
        <v>1289</v>
      </c>
      <c r="E504">
        <v>1</v>
      </c>
      <c r="F504" s="3">
        <v>91</v>
      </c>
      <c r="G504" s="3">
        <v>91</v>
      </c>
      <c r="H504" t="s">
        <v>1315</v>
      </c>
      <c r="I504">
        <f>MONTH(Table1_1[[#This Row],[Order Date]])</f>
        <v>12</v>
      </c>
      <c r="J504" t="str">
        <f>TEXT(Table1_1[[#This Row],[Order Date]],"[$-en-US]mmm")</f>
        <v>Dec</v>
      </c>
    </row>
    <row r="505" spans="1:10" x14ac:dyDescent="0.3">
      <c r="A505" t="s">
        <v>534</v>
      </c>
      <c r="B505" s="2">
        <v>45453</v>
      </c>
      <c r="C505" t="s">
        <v>1276</v>
      </c>
      <c r="D505" t="s">
        <v>1290</v>
      </c>
      <c r="E505">
        <v>3</v>
      </c>
      <c r="F505" s="3">
        <v>885</v>
      </c>
      <c r="G505" s="3">
        <v>2655</v>
      </c>
      <c r="H505" t="s">
        <v>1314</v>
      </c>
      <c r="I505">
        <f>MONTH(Table1_1[[#This Row],[Order Date]])</f>
        <v>6</v>
      </c>
      <c r="J505" t="str">
        <f>TEXT(Table1_1[[#This Row],[Order Date]],"[$-en-US]mmm")</f>
        <v>Jun</v>
      </c>
    </row>
    <row r="506" spans="1:10" x14ac:dyDescent="0.3">
      <c r="A506" t="s">
        <v>535</v>
      </c>
      <c r="B506" s="2">
        <v>45656</v>
      </c>
      <c r="C506" t="s">
        <v>1274</v>
      </c>
      <c r="D506" t="s">
        <v>1290</v>
      </c>
      <c r="E506">
        <v>10</v>
      </c>
      <c r="F506" s="3">
        <v>162</v>
      </c>
      <c r="G506" s="3">
        <v>1620</v>
      </c>
      <c r="H506" t="s">
        <v>1316</v>
      </c>
      <c r="I506">
        <f>MONTH(Table1_1[[#This Row],[Order Date]])</f>
        <v>12</v>
      </c>
      <c r="J506" t="str">
        <f>TEXT(Table1_1[[#This Row],[Order Date]],"[$-en-US]mmm")</f>
        <v>Dec</v>
      </c>
    </row>
    <row r="507" spans="1:10" x14ac:dyDescent="0.3">
      <c r="A507" t="s">
        <v>536</v>
      </c>
      <c r="B507" s="2">
        <v>45580</v>
      </c>
      <c r="C507" t="s">
        <v>1273</v>
      </c>
      <c r="D507" t="s">
        <v>1289</v>
      </c>
      <c r="E507">
        <v>5</v>
      </c>
      <c r="F507" s="3">
        <v>181</v>
      </c>
      <c r="G507" s="3">
        <v>905</v>
      </c>
      <c r="H507" t="s">
        <v>1313</v>
      </c>
      <c r="I507">
        <f>MONTH(Table1_1[[#This Row],[Order Date]])</f>
        <v>10</v>
      </c>
      <c r="J507" t="str">
        <f>TEXT(Table1_1[[#This Row],[Order Date]],"[$-en-US]mmm")</f>
        <v>Oct</v>
      </c>
    </row>
    <row r="508" spans="1:10" x14ac:dyDescent="0.3">
      <c r="A508" t="s">
        <v>537</v>
      </c>
      <c r="B508" s="2">
        <v>45488</v>
      </c>
      <c r="C508" t="s">
        <v>1275</v>
      </c>
      <c r="D508" t="s">
        <v>1289</v>
      </c>
      <c r="E508">
        <v>9</v>
      </c>
      <c r="F508" s="3">
        <v>354</v>
      </c>
      <c r="G508" s="3">
        <v>3186</v>
      </c>
      <c r="H508" t="s">
        <v>1313</v>
      </c>
      <c r="I508">
        <f>MONTH(Table1_1[[#This Row],[Order Date]])</f>
        <v>7</v>
      </c>
      <c r="J508" t="str">
        <f>TEXT(Table1_1[[#This Row],[Order Date]],"[$-en-US]mmm")</f>
        <v>Jul</v>
      </c>
    </row>
    <row r="509" spans="1:10" x14ac:dyDescent="0.3">
      <c r="A509" t="s">
        <v>538</v>
      </c>
      <c r="B509" s="2">
        <v>45469</v>
      </c>
      <c r="C509" t="s">
        <v>1273</v>
      </c>
      <c r="D509" t="s">
        <v>1289</v>
      </c>
      <c r="E509">
        <v>9</v>
      </c>
      <c r="F509" s="3">
        <v>778</v>
      </c>
      <c r="G509" s="3">
        <v>7002</v>
      </c>
      <c r="H509" t="s">
        <v>1314</v>
      </c>
      <c r="I509">
        <f>MONTH(Table1_1[[#This Row],[Order Date]])</f>
        <v>6</v>
      </c>
      <c r="J509" t="str">
        <f>TEXT(Table1_1[[#This Row],[Order Date]],"[$-en-US]mmm")</f>
        <v>Jun</v>
      </c>
    </row>
    <row r="510" spans="1:10" x14ac:dyDescent="0.3">
      <c r="A510" t="s">
        <v>539</v>
      </c>
      <c r="B510" s="2">
        <v>45330</v>
      </c>
      <c r="C510" t="s">
        <v>1273</v>
      </c>
      <c r="D510" t="s">
        <v>1289</v>
      </c>
      <c r="E510">
        <v>7</v>
      </c>
      <c r="F510" s="3">
        <v>252</v>
      </c>
      <c r="G510" s="3">
        <v>1764</v>
      </c>
      <c r="H510" t="s">
        <v>1315</v>
      </c>
      <c r="I510">
        <f>MONTH(Table1_1[[#This Row],[Order Date]])</f>
        <v>2</v>
      </c>
      <c r="J510" t="str">
        <f>TEXT(Table1_1[[#This Row],[Order Date]],"[$-en-US]mmm")</f>
        <v>Feb</v>
      </c>
    </row>
    <row r="511" spans="1:10" x14ac:dyDescent="0.3">
      <c r="A511" t="s">
        <v>540</v>
      </c>
      <c r="B511" s="2">
        <v>45616</v>
      </c>
      <c r="C511" t="s">
        <v>1275</v>
      </c>
      <c r="D511" t="s">
        <v>1289</v>
      </c>
      <c r="E511">
        <v>6</v>
      </c>
      <c r="F511" s="3">
        <v>45</v>
      </c>
      <c r="G511" s="3">
        <v>270</v>
      </c>
      <c r="H511" t="s">
        <v>1315</v>
      </c>
      <c r="I511">
        <f>MONTH(Table1_1[[#This Row],[Order Date]])</f>
        <v>11</v>
      </c>
      <c r="J511" t="str">
        <f>TEXT(Table1_1[[#This Row],[Order Date]],"[$-en-US]mmm")</f>
        <v>Nov</v>
      </c>
    </row>
    <row r="512" spans="1:10" x14ac:dyDescent="0.3">
      <c r="A512" t="s">
        <v>541</v>
      </c>
      <c r="B512" s="2">
        <v>45474</v>
      </c>
      <c r="C512" t="s">
        <v>1282</v>
      </c>
      <c r="D512" t="s">
        <v>1290</v>
      </c>
      <c r="E512">
        <v>8</v>
      </c>
      <c r="F512" s="3">
        <v>248</v>
      </c>
      <c r="G512" s="3">
        <v>1984</v>
      </c>
      <c r="H512" t="s">
        <v>1316</v>
      </c>
      <c r="I512">
        <f>MONTH(Table1_1[[#This Row],[Order Date]])</f>
        <v>7</v>
      </c>
      <c r="J512" t="str">
        <f>TEXT(Table1_1[[#This Row],[Order Date]],"[$-en-US]mmm")</f>
        <v>Jul</v>
      </c>
    </row>
    <row r="513" spans="1:10" x14ac:dyDescent="0.3">
      <c r="A513" t="s">
        <v>542</v>
      </c>
      <c r="B513" s="2">
        <v>45591</v>
      </c>
      <c r="C513" t="s">
        <v>1275</v>
      </c>
      <c r="D513" t="s">
        <v>1289</v>
      </c>
      <c r="E513">
        <v>3</v>
      </c>
      <c r="F513" s="3">
        <v>711</v>
      </c>
      <c r="G513" s="3">
        <v>2133</v>
      </c>
      <c r="H513" t="s">
        <v>1316</v>
      </c>
      <c r="I513">
        <f>MONTH(Table1_1[[#This Row],[Order Date]])</f>
        <v>10</v>
      </c>
      <c r="J513" t="str">
        <f>TEXT(Table1_1[[#This Row],[Order Date]],"[$-en-US]mmm")</f>
        <v>Oct</v>
      </c>
    </row>
    <row r="514" spans="1:10" x14ac:dyDescent="0.3">
      <c r="A514" t="s">
        <v>543</v>
      </c>
      <c r="B514" s="2">
        <v>45418</v>
      </c>
      <c r="C514" t="s">
        <v>1273</v>
      </c>
      <c r="D514" t="s">
        <v>1289</v>
      </c>
      <c r="E514">
        <v>10</v>
      </c>
      <c r="F514" s="3">
        <v>317</v>
      </c>
      <c r="G514" s="3">
        <v>3170</v>
      </c>
      <c r="H514" t="s">
        <v>1314</v>
      </c>
      <c r="I514">
        <f>MONTH(Table1_1[[#This Row],[Order Date]])</f>
        <v>5</v>
      </c>
      <c r="J514" t="str">
        <f>TEXT(Table1_1[[#This Row],[Order Date]],"[$-en-US]mmm")</f>
        <v>May</v>
      </c>
    </row>
    <row r="515" spans="1:10" x14ac:dyDescent="0.3">
      <c r="A515" t="s">
        <v>544</v>
      </c>
      <c r="B515" s="2">
        <v>45486</v>
      </c>
      <c r="C515" t="s">
        <v>1273</v>
      </c>
      <c r="D515" t="s">
        <v>1289</v>
      </c>
      <c r="E515">
        <v>5</v>
      </c>
      <c r="F515" s="3">
        <v>172</v>
      </c>
      <c r="G515" s="3">
        <v>860</v>
      </c>
      <c r="H515" t="s">
        <v>1313</v>
      </c>
      <c r="I515">
        <f>MONTH(Table1_1[[#This Row],[Order Date]])</f>
        <v>7</v>
      </c>
      <c r="J515" t="str">
        <f>TEXT(Table1_1[[#This Row],[Order Date]],"[$-en-US]mmm")</f>
        <v>Jul</v>
      </c>
    </row>
    <row r="516" spans="1:10" x14ac:dyDescent="0.3">
      <c r="A516" t="s">
        <v>545</v>
      </c>
      <c r="B516" s="2">
        <v>45346</v>
      </c>
      <c r="C516" t="s">
        <v>1275</v>
      </c>
      <c r="D516" t="s">
        <v>1289</v>
      </c>
      <c r="E516">
        <v>6</v>
      </c>
      <c r="F516" s="3">
        <v>384</v>
      </c>
      <c r="G516" s="3">
        <v>2304</v>
      </c>
      <c r="H516" t="s">
        <v>1314</v>
      </c>
      <c r="I516">
        <f>MONTH(Table1_1[[#This Row],[Order Date]])</f>
        <v>2</v>
      </c>
      <c r="J516" t="str">
        <f>TEXT(Table1_1[[#This Row],[Order Date]],"[$-en-US]mmm")</f>
        <v>Feb</v>
      </c>
    </row>
    <row r="517" spans="1:10" x14ac:dyDescent="0.3">
      <c r="A517" t="s">
        <v>546</v>
      </c>
      <c r="B517" s="2">
        <v>45476</v>
      </c>
      <c r="C517" t="s">
        <v>1276</v>
      </c>
      <c r="D517" t="s">
        <v>1290</v>
      </c>
      <c r="E517">
        <v>5</v>
      </c>
      <c r="F517" s="3">
        <v>470</v>
      </c>
      <c r="G517" s="3">
        <v>2350</v>
      </c>
      <c r="H517" t="s">
        <v>1315</v>
      </c>
      <c r="I517">
        <f>MONTH(Table1_1[[#This Row],[Order Date]])</f>
        <v>7</v>
      </c>
      <c r="J517" t="str">
        <f>TEXT(Table1_1[[#This Row],[Order Date]],"[$-en-US]mmm")</f>
        <v>Jul</v>
      </c>
    </row>
    <row r="518" spans="1:10" x14ac:dyDescent="0.3">
      <c r="A518" t="s">
        <v>547</v>
      </c>
      <c r="B518" s="2">
        <v>45387</v>
      </c>
      <c r="C518" t="s">
        <v>1273</v>
      </c>
      <c r="D518" t="s">
        <v>1289</v>
      </c>
      <c r="E518">
        <v>3</v>
      </c>
      <c r="F518" s="3">
        <v>104</v>
      </c>
      <c r="G518" s="3">
        <v>312</v>
      </c>
      <c r="H518" t="s">
        <v>1316</v>
      </c>
      <c r="I518">
        <f>MONTH(Table1_1[[#This Row],[Order Date]])</f>
        <v>4</v>
      </c>
      <c r="J518" t="str">
        <f>TEXT(Table1_1[[#This Row],[Order Date]],"[$-en-US]mmm")</f>
        <v>Apr</v>
      </c>
    </row>
    <row r="519" spans="1:10" x14ac:dyDescent="0.3">
      <c r="A519" t="s">
        <v>548</v>
      </c>
      <c r="B519" s="2">
        <v>45554</v>
      </c>
      <c r="C519" t="s">
        <v>1282</v>
      </c>
      <c r="D519" t="s">
        <v>1290</v>
      </c>
      <c r="E519">
        <v>9</v>
      </c>
      <c r="F519" s="3">
        <v>583</v>
      </c>
      <c r="G519" s="3">
        <v>5247</v>
      </c>
      <c r="H519" t="s">
        <v>1316</v>
      </c>
      <c r="I519">
        <f>MONTH(Table1_1[[#This Row],[Order Date]])</f>
        <v>9</v>
      </c>
      <c r="J519" t="str">
        <f>TEXT(Table1_1[[#This Row],[Order Date]],"[$-en-US]mmm")</f>
        <v>Sep</v>
      </c>
    </row>
    <row r="520" spans="1:10" x14ac:dyDescent="0.3">
      <c r="A520" t="s">
        <v>549</v>
      </c>
      <c r="B520" s="2">
        <v>45473</v>
      </c>
      <c r="C520" t="s">
        <v>1273</v>
      </c>
      <c r="D520" t="s">
        <v>1289</v>
      </c>
      <c r="E520">
        <v>1</v>
      </c>
      <c r="F520" s="3">
        <v>106</v>
      </c>
      <c r="G520" s="3">
        <v>106</v>
      </c>
      <c r="H520" t="s">
        <v>1314</v>
      </c>
      <c r="I520">
        <f>MONTH(Table1_1[[#This Row],[Order Date]])</f>
        <v>6</v>
      </c>
      <c r="J520" t="str">
        <f>TEXT(Table1_1[[#This Row],[Order Date]],"[$-en-US]mmm")</f>
        <v>Jun</v>
      </c>
    </row>
    <row r="521" spans="1:10" x14ac:dyDescent="0.3">
      <c r="A521" t="s">
        <v>550</v>
      </c>
      <c r="B521" s="2">
        <v>45441</v>
      </c>
      <c r="C521" t="s">
        <v>1280</v>
      </c>
      <c r="D521" t="s">
        <v>1290</v>
      </c>
      <c r="E521">
        <v>7</v>
      </c>
      <c r="F521" s="3">
        <v>27</v>
      </c>
      <c r="G521" s="3">
        <v>189</v>
      </c>
      <c r="H521" t="s">
        <v>1316</v>
      </c>
      <c r="I521">
        <f>MONTH(Table1_1[[#This Row],[Order Date]])</f>
        <v>5</v>
      </c>
      <c r="J521" t="str">
        <f>TEXT(Table1_1[[#This Row],[Order Date]],"[$-en-US]mmm")</f>
        <v>May</v>
      </c>
    </row>
    <row r="522" spans="1:10" x14ac:dyDescent="0.3">
      <c r="A522" t="s">
        <v>551</v>
      </c>
      <c r="B522" s="2">
        <v>45578</v>
      </c>
      <c r="C522" t="s">
        <v>1275</v>
      </c>
      <c r="D522" t="s">
        <v>1289</v>
      </c>
      <c r="E522">
        <v>2</v>
      </c>
      <c r="F522" s="3">
        <v>757</v>
      </c>
      <c r="G522" s="3">
        <v>1514</v>
      </c>
      <c r="H522" t="s">
        <v>1313</v>
      </c>
      <c r="I522">
        <f>MONTH(Table1_1[[#This Row],[Order Date]])</f>
        <v>10</v>
      </c>
      <c r="J522" t="str">
        <f>TEXT(Table1_1[[#This Row],[Order Date]],"[$-en-US]mmm")</f>
        <v>Oct</v>
      </c>
    </row>
    <row r="523" spans="1:10" x14ac:dyDescent="0.3">
      <c r="A523" t="s">
        <v>552</v>
      </c>
      <c r="B523" s="2">
        <v>45363</v>
      </c>
      <c r="C523" t="s">
        <v>1279</v>
      </c>
      <c r="D523" t="s">
        <v>1289</v>
      </c>
      <c r="E523">
        <v>7</v>
      </c>
      <c r="F523" s="3">
        <v>188</v>
      </c>
      <c r="G523" s="3">
        <v>1316</v>
      </c>
      <c r="H523" t="s">
        <v>1315</v>
      </c>
      <c r="I523">
        <f>MONTH(Table1_1[[#This Row],[Order Date]])</f>
        <v>3</v>
      </c>
      <c r="J523" t="str">
        <f>TEXT(Table1_1[[#This Row],[Order Date]],"[$-en-US]mmm")</f>
        <v>Mar</v>
      </c>
    </row>
    <row r="524" spans="1:10" x14ac:dyDescent="0.3">
      <c r="A524" t="s">
        <v>553</v>
      </c>
      <c r="B524" s="2">
        <v>45366</v>
      </c>
      <c r="C524" t="s">
        <v>1277</v>
      </c>
      <c r="D524" t="s">
        <v>1289</v>
      </c>
      <c r="E524">
        <v>5</v>
      </c>
      <c r="F524" s="3">
        <v>519</v>
      </c>
      <c r="G524" s="3">
        <v>2595</v>
      </c>
      <c r="H524" t="s">
        <v>1314</v>
      </c>
      <c r="I524">
        <f>MONTH(Table1_1[[#This Row],[Order Date]])</f>
        <v>3</v>
      </c>
      <c r="J524" t="str">
        <f>TEXT(Table1_1[[#This Row],[Order Date]],"[$-en-US]mmm")</f>
        <v>Mar</v>
      </c>
    </row>
    <row r="525" spans="1:10" x14ac:dyDescent="0.3">
      <c r="A525" t="s">
        <v>554</v>
      </c>
      <c r="B525" s="2">
        <v>45507</v>
      </c>
      <c r="C525" t="s">
        <v>1279</v>
      </c>
      <c r="D525" t="s">
        <v>1289</v>
      </c>
      <c r="E525">
        <v>7</v>
      </c>
      <c r="F525" s="3">
        <v>297</v>
      </c>
      <c r="G525" s="3">
        <v>2079</v>
      </c>
      <c r="H525" t="s">
        <v>1315</v>
      </c>
      <c r="I525">
        <f>MONTH(Table1_1[[#This Row],[Order Date]])</f>
        <v>8</v>
      </c>
      <c r="J525" t="str">
        <f>TEXT(Table1_1[[#This Row],[Order Date]],"[$-en-US]mmm")</f>
        <v>Aug</v>
      </c>
    </row>
    <row r="526" spans="1:10" x14ac:dyDescent="0.3">
      <c r="A526" t="s">
        <v>555</v>
      </c>
      <c r="B526" s="2">
        <v>45420</v>
      </c>
      <c r="C526" t="s">
        <v>1282</v>
      </c>
      <c r="D526" t="s">
        <v>1290</v>
      </c>
      <c r="E526">
        <v>2</v>
      </c>
      <c r="F526" s="3">
        <v>384</v>
      </c>
      <c r="G526" s="3">
        <v>768</v>
      </c>
      <c r="H526" t="s">
        <v>1313</v>
      </c>
      <c r="I526">
        <f>MONTH(Table1_1[[#This Row],[Order Date]])</f>
        <v>5</v>
      </c>
      <c r="J526" t="str">
        <f>TEXT(Table1_1[[#This Row],[Order Date]],"[$-en-US]mmm")</f>
        <v>May</v>
      </c>
    </row>
    <row r="527" spans="1:10" x14ac:dyDescent="0.3">
      <c r="A527" t="s">
        <v>556</v>
      </c>
      <c r="B527" s="2">
        <v>45392</v>
      </c>
      <c r="C527" t="s">
        <v>1282</v>
      </c>
      <c r="D527" t="s">
        <v>1290</v>
      </c>
      <c r="E527">
        <v>10</v>
      </c>
      <c r="F527" s="3">
        <v>646</v>
      </c>
      <c r="G527" s="3">
        <v>6460</v>
      </c>
      <c r="H527" t="s">
        <v>1316</v>
      </c>
      <c r="I527">
        <f>MONTH(Table1_1[[#This Row],[Order Date]])</f>
        <v>4</v>
      </c>
      <c r="J527" t="str">
        <f>TEXT(Table1_1[[#This Row],[Order Date]],"[$-en-US]mmm")</f>
        <v>Apr</v>
      </c>
    </row>
    <row r="528" spans="1:10" x14ac:dyDescent="0.3">
      <c r="A528" t="s">
        <v>557</v>
      </c>
      <c r="B528" s="2">
        <v>45295</v>
      </c>
      <c r="C528" t="s">
        <v>1273</v>
      </c>
      <c r="D528" t="s">
        <v>1289</v>
      </c>
      <c r="E528">
        <v>3</v>
      </c>
      <c r="F528" s="3">
        <v>326</v>
      </c>
      <c r="G528" s="3">
        <v>978</v>
      </c>
      <c r="H528" t="s">
        <v>1316</v>
      </c>
      <c r="I528">
        <f>MONTH(Table1_1[[#This Row],[Order Date]])</f>
        <v>1</v>
      </c>
      <c r="J528" t="str">
        <f>TEXT(Table1_1[[#This Row],[Order Date]],"[$-en-US]mmm")</f>
        <v>Jan</v>
      </c>
    </row>
    <row r="529" spans="1:10" x14ac:dyDescent="0.3">
      <c r="A529" t="s">
        <v>559</v>
      </c>
      <c r="B529" s="2">
        <v>45625</v>
      </c>
      <c r="C529" t="s">
        <v>1280</v>
      </c>
      <c r="D529" t="s">
        <v>1290</v>
      </c>
      <c r="E529">
        <v>7</v>
      </c>
      <c r="F529" s="3">
        <v>850</v>
      </c>
      <c r="G529" s="3">
        <v>5950</v>
      </c>
      <c r="H529" t="s">
        <v>1313</v>
      </c>
      <c r="I529">
        <f>MONTH(Table1_1[[#This Row],[Order Date]])</f>
        <v>11</v>
      </c>
      <c r="J529" t="str">
        <f>TEXT(Table1_1[[#This Row],[Order Date]],"[$-en-US]mmm")</f>
        <v>Nov</v>
      </c>
    </row>
    <row r="530" spans="1:10" x14ac:dyDescent="0.3">
      <c r="A530" t="s">
        <v>560</v>
      </c>
      <c r="B530" s="2">
        <v>45647</v>
      </c>
      <c r="C530" t="s">
        <v>1277</v>
      </c>
      <c r="D530" t="s">
        <v>1289</v>
      </c>
      <c r="E530">
        <v>6</v>
      </c>
      <c r="F530" s="3">
        <v>632</v>
      </c>
      <c r="G530" s="3">
        <v>3792</v>
      </c>
      <c r="H530" t="s">
        <v>1313</v>
      </c>
      <c r="I530">
        <f>MONTH(Table1_1[[#This Row],[Order Date]])</f>
        <v>12</v>
      </c>
      <c r="J530" t="str">
        <f>TEXT(Table1_1[[#This Row],[Order Date]],"[$-en-US]mmm")</f>
        <v>Dec</v>
      </c>
    </row>
    <row r="531" spans="1:10" x14ac:dyDescent="0.3">
      <c r="A531" t="s">
        <v>561</v>
      </c>
      <c r="B531" s="2">
        <v>45495</v>
      </c>
      <c r="C531" t="s">
        <v>1282</v>
      </c>
      <c r="D531" t="s">
        <v>1290</v>
      </c>
      <c r="E531">
        <v>6</v>
      </c>
      <c r="F531" s="3">
        <v>196</v>
      </c>
      <c r="G531" s="3">
        <v>1176</v>
      </c>
      <c r="H531" t="s">
        <v>1315</v>
      </c>
      <c r="I531">
        <f>MONTH(Table1_1[[#This Row],[Order Date]])</f>
        <v>7</v>
      </c>
      <c r="J531" t="str">
        <f>TEXT(Table1_1[[#This Row],[Order Date]],"[$-en-US]mmm")</f>
        <v>Jul</v>
      </c>
    </row>
    <row r="532" spans="1:10" x14ac:dyDescent="0.3">
      <c r="A532" t="s">
        <v>562</v>
      </c>
      <c r="B532" s="2">
        <v>45416</v>
      </c>
      <c r="C532" t="s">
        <v>1277</v>
      </c>
      <c r="D532" t="s">
        <v>1289</v>
      </c>
      <c r="E532">
        <v>8</v>
      </c>
      <c r="F532" s="3">
        <v>604</v>
      </c>
      <c r="G532" s="3">
        <v>4832</v>
      </c>
      <c r="H532" t="s">
        <v>1315</v>
      </c>
      <c r="I532">
        <f>MONTH(Table1_1[[#This Row],[Order Date]])</f>
        <v>5</v>
      </c>
      <c r="J532" t="str">
        <f>TEXT(Table1_1[[#This Row],[Order Date]],"[$-en-US]mmm")</f>
        <v>May</v>
      </c>
    </row>
    <row r="533" spans="1:10" x14ac:dyDescent="0.3">
      <c r="A533" t="s">
        <v>563</v>
      </c>
      <c r="B533" s="2">
        <v>45493</v>
      </c>
      <c r="C533" t="s">
        <v>1275</v>
      </c>
      <c r="D533" t="s">
        <v>1289</v>
      </c>
      <c r="E533">
        <v>5</v>
      </c>
      <c r="F533" s="3">
        <v>851</v>
      </c>
      <c r="G533" s="3">
        <v>4255</v>
      </c>
      <c r="H533" t="s">
        <v>1315</v>
      </c>
      <c r="I533">
        <f>MONTH(Table1_1[[#This Row],[Order Date]])</f>
        <v>7</v>
      </c>
      <c r="J533" t="str">
        <f>TEXT(Table1_1[[#This Row],[Order Date]],"[$-en-US]mmm")</f>
        <v>Jul</v>
      </c>
    </row>
    <row r="534" spans="1:10" x14ac:dyDescent="0.3">
      <c r="A534" t="s">
        <v>564</v>
      </c>
      <c r="B534" s="2">
        <v>45595</v>
      </c>
      <c r="C534" t="s">
        <v>1273</v>
      </c>
      <c r="D534" t="s">
        <v>1289</v>
      </c>
      <c r="E534">
        <v>10</v>
      </c>
      <c r="F534" s="3">
        <v>219</v>
      </c>
      <c r="G534" s="3">
        <v>2190</v>
      </c>
      <c r="H534" t="s">
        <v>1313</v>
      </c>
      <c r="I534">
        <f>MONTH(Table1_1[[#This Row],[Order Date]])</f>
        <v>10</v>
      </c>
      <c r="J534" t="str">
        <f>TEXT(Table1_1[[#This Row],[Order Date]],"[$-en-US]mmm")</f>
        <v>Oct</v>
      </c>
    </row>
    <row r="535" spans="1:10" x14ac:dyDescent="0.3">
      <c r="A535" t="s">
        <v>565</v>
      </c>
      <c r="B535" s="2">
        <v>45399</v>
      </c>
      <c r="C535" t="s">
        <v>1276</v>
      </c>
      <c r="D535" t="s">
        <v>1290</v>
      </c>
      <c r="E535">
        <v>8</v>
      </c>
      <c r="F535" s="3">
        <v>740</v>
      </c>
      <c r="G535" s="3">
        <v>5920</v>
      </c>
      <c r="H535" t="s">
        <v>1316</v>
      </c>
      <c r="I535">
        <f>MONTH(Table1_1[[#This Row],[Order Date]])</f>
        <v>4</v>
      </c>
      <c r="J535" t="str">
        <f>TEXT(Table1_1[[#This Row],[Order Date]],"[$-en-US]mmm")</f>
        <v>Apr</v>
      </c>
    </row>
    <row r="536" spans="1:10" x14ac:dyDescent="0.3">
      <c r="A536" t="s">
        <v>566</v>
      </c>
      <c r="B536" s="2">
        <v>45501</v>
      </c>
      <c r="C536" t="s">
        <v>1277</v>
      </c>
      <c r="D536" t="s">
        <v>1289</v>
      </c>
      <c r="E536">
        <v>2</v>
      </c>
      <c r="F536" s="3">
        <v>853</v>
      </c>
      <c r="G536" s="3">
        <v>1706</v>
      </c>
      <c r="H536" t="s">
        <v>1316</v>
      </c>
      <c r="I536">
        <f>MONTH(Table1_1[[#This Row],[Order Date]])</f>
        <v>7</v>
      </c>
      <c r="J536" t="str">
        <f>TEXT(Table1_1[[#This Row],[Order Date]],"[$-en-US]mmm")</f>
        <v>Jul</v>
      </c>
    </row>
    <row r="537" spans="1:10" x14ac:dyDescent="0.3">
      <c r="A537" t="s">
        <v>567</v>
      </c>
      <c r="B537" s="2">
        <v>45421</v>
      </c>
      <c r="C537" t="s">
        <v>1279</v>
      </c>
      <c r="D537" t="s">
        <v>1289</v>
      </c>
      <c r="E537">
        <v>5</v>
      </c>
      <c r="F537" s="3">
        <v>262</v>
      </c>
      <c r="G537" s="3">
        <v>1310</v>
      </c>
      <c r="H537" t="s">
        <v>1313</v>
      </c>
      <c r="I537">
        <f>MONTH(Table1_1[[#This Row],[Order Date]])</f>
        <v>5</v>
      </c>
      <c r="J537" t="str">
        <f>TEXT(Table1_1[[#This Row],[Order Date]],"[$-en-US]mmm")</f>
        <v>May</v>
      </c>
    </row>
    <row r="538" spans="1:10" x14ac:dyDescent="0.3">
      <c r="A538" t="s">
        <v>569</v>
      </c>
      <c r="B538" s="2">
        <v>45646</v>
      </c>
      <c r="C538" t="s">
        <v>1275</v>
      </c>
      <c r="D538" t="s">
        <v>1289</v>
      </c>
      <c r="E538">
        <v>9</v>
      </c>
      <c r="F538" s="3">
        <v>533</v>
      </c>
      <c r="G538" s="3">
        <v>4797</v>
      </c>
      <c r="H538" t="s">
        <v>1316</v>
      </c>
      <c r="I538">
        <f>MONTH(Table1_1[[#This Row],[Order Date]])</f>
        <v>12</v>
      </c>
      <c r="J538" t="str">
        <f>TEXT(Table1_1[[#This Row],[Order Date]],"[$-en-US]mmm")</f>
        <v>Dec</v>
      </c>
    </row>
    <row r="539" spans="1:10" x14ac:dyDescent="0.3">
      <c r="A539" t="s">
        <v>571</v>
      </c>
      <c r="B539" s="2">
        <v>45632</v>
      </c>
      <c r="C539" t="s">
        <v>1273</v>
      </c>
      <c r="D539" t="s">
        <v>1289</v>
      </c>
      <c r="E539">
        <v>4</v>
      </c>
      <c r="F539" s="3">
        <v>688</v>
      </c>
      <c r="G539" s="3">
        <v>2752</v>
      </c>
      <c r="H539" t="s">
        <v>1315</v>
      </c>
      <c r="I539">
        <f>MONTH(Table1_1[[#This Row],[Order Date]])</f>
        <v>12</v>
      </c>
      <c r="J539" t="str">
        <f>TEXT(Table1_1[[#This Row],[Order Date]],"[$-en-US]mmm")</f>
        <v>Dec</v>
      </c>
    </row>
    <row r="540" spans="1:10" x14ac:dyDescent="0.3">
      <c r="A540" t="s">
        <v>572</v>
      </c>
      <c r="B540" s="2">
        <v>45580</v>
      </c>
      <c r="C540" t="s">
        <v>1279</v>
      </c>
      <c r="D540" t="s">
        <v>1289</v>
      </c>
      <c r="E540">
        <v>10</v>
      </c>
      <c r="F540" s="3">
        <v>60</v>
      </c>
      <c r="G540" s="3">
        <v>600</v>
      </c>
      <c r="H540" t="s">
        <v>1316</v>
      </c>
      <c r="I540">
        <f>MONTH(Table1_1[[#This Row],[Order Date]])</f>
        <v>10</v>
      </c>
      <c r="J540" t="str">
        <f>TEXT(Table1_1[[#This Row],[Order Date]],"[$-en-US]mmm")</f>
        <v>Oct</v>
      </c>
    </row>
    <row r="541" spans="1:10" x14ac:dyDescent="0.3">
      <c r="A541" t="s">
        <v>573</v>
      </c>
      <c r="B541" s="2">
        <v>45297</v>
      </c>
      <c r="C541" t="s">
        <v>1280</v>
      </c>
      <c r="D541" t="s">
        <v>1290</v>
      </c>
      <c r="E541">
        <v>7</v>
      </c>
      <c r="F541" s="3">
        <v>123</v>
      </c>
      <c r="G541" s="3">
        <v>861</v>
      </c>
      <c r="H541" t="s">
        <v>1314</v>
      </c>
      <c r="I541">
        <f>MONTH(Table1_1[[#This Row],[Order Date]])</f>
        <v>1</v>
      </c>
      <c r="J541" t="str">
        <f>TEXT(Table1_1[[#This Row],[Order Date]],"[$-en-US]mmm")</f>
        <v>Jan</v>
      </c>
    </row>
    <row r="542" spans="1:10" x14ac:dyDescent="0.3">
      <c r="A542" t="s">
        <v>575</v>
      </c>
      <c r="B542" s="2">
        <v>45529</v>
      </c>
      <c r="C542" t="s">
        <v>1282</v>
      </c>
      <c r="D542" t="s">
        <v>1290</v>
      </c>
      <c r="E542">
        <v>6</v>
      </c>
      <c r="F542" s="3">
        <v>415</v>
      </c>
      <c r="G542" s="3">
        <v>2490</v>
      </c>
      <c r="H542" t="s">
        <v>1313</v>
      </c>
      <c r="I542">
        <f>MONTH(Table1_1[[#This Row],[Order Date]])</f>
        <v>8</v>
      </c>
      <c r="J542" t="str">
        <f>TEXT(Table1_1[[#This Row],[Order Date]],"[$-en-US]mmm")</f>
        <v>Aug</v>
      </c>
    </row>
    <row r="543" spans="1:10" x14ac:dyDescent="0.3">
      <c r="A543" t="s">
        <v>577</v>
      </c>
      <c r="B543" s="2">
        <v>45364</v>
      </c>
      <c r="C543" t="s">
        <v>1275</v>
      </c>
      <c r="D543" t="s">
        <v>1289</v>
      </c>
      <c r="E543">
        <v>2</v>
      </c>
      <c r="F543" s="3">
        <v>133</v>
      </c>
      <c r="G543" s="3">
        <v>266</v>
      </c>
      <c r="H543" t="s">
        <v>1315</v>
      </c>
      <c r="I543">
        <f>MONTH(Table1_1[[#This Row],[Order Date]])</f>
        <v>3</v>
      </c>
      <c r="J543" t="str">
        <f>TEXT(Table1_1[[#This Row],[Order Date]],"[$-en-US]mmm")</f>
        <v>Mar</v>
      </c>
    </row>
    <row r="544" spans="1:10" x14ac:dyDescent="0.3">
      <c r="A544" t="s">
        <v>578</v>
      </c>
      <c r="B544" s="2">
        <v>45397</v>
      </c>
      <c r="C544" t="s">
        <v>1277</v>
      </c>
      <c r="D544" t="s">
        <v>1289</v>
      </c>
      <c r="E544">
        <v>6</v>
      </c>
      <c r="F544" s="3">
        <v>481</v>
      </c>
      <c r="G544" s="3">
        <v>2886</v>
      </c>
      <c r="H544" t="s">
        <v>1316</v>
      </c>
      <c r="I544">
        <f>MONTH(Table1_1[[#This Row],[Order Date]])</f>
        <v>4</v>
      </c>
      <c r="J544" t="str">
        <f>TEXT(Table1_1[[#This Row],[Order Date]],"[$-en-US]mmm")</f>
        <v>Apr</v>
      </c>
    </row>
    <row r="545" spans="1:10" x14ac:dyDescent="0.3">
      <c r="A545" t="s">
        <v>579</v>
      </c>
      <c r="B545" s="2">
        <v>45516</v>
      </c>
      <c r="C545" t="s">
        <v>1280</v>
      </c>
      <c r="D545" t="s">
        <v>1290</v>
      </c>
      <c r="E545">
        <v>8</v>
      </c>
      <c r="F545" s="3">
        <v>114</v>
      </c>
      <c r="G545" s="3">
        <v>912</v>
      </c>
      <c r="H545" t="s">
        <v>1316</v>
      </c>
      <c r="I545">
        <f>MONTH(Table1_1[[#This Row],[Order Date]])</f>
        <v>8</v>
      </c>
      <c r="J545" t="str">
        <f>TEXT(Table1_1[[#This Row],[Order Date]],"[$-en-US]mmm")</f>
        <v>Aug</v>
      </c>
    </row>
    <row r="546" spans="1:10" x14ac:dyDescent="0.3">
      <c r="A546" t="s">
        <v>580</v>
      </c>
      <c r="B546" s="2">
        <v>45314</v>
      </c>
      <c r="C546" t="s">
        <v>1280</v>
      </c>
      <c r="D546" t="s">
        <v>1290</v>
      </c>
      <c r="E546">
        <v>2</v>
      </c>
      <c r="F546" s="3">
        <v>322</v>
      </c>
      <c r="G546" s="3">
        <v>644</v>
      </c>
      <c r="H546" t="s">
        <v>1314</v>
      </c>
      <c r="I546">
        <f>MONTH(Table1_1[[#This Row],[Order Date]])</f>
        <v>1</v>
      </c>
      <c r="J546" t="str">
        <f>TEXT(Table1_1[[#This Row],[Order Date]],"[$-en-US]mmm")</f>
        <v>Jan</v>
      </c>
    </row>
    <row r="547" spans="1:10" x14ac:dyDescent="0.3">
      <c r="A547" t="s">
        <v>581</v>
      </c>
      <c r="B547" s="2">
        <v>45347</v>
      </c>
      <c r="C547" t="s">
        <v>1276</v>
      </c>
      <c r="D547" t="s">
        <v>1290</v>
      </c>
      <c r="E547">
        <v>6</v>
      </c>
      <c r="F547" s="3">
        <v>678</v>
      </c>
      <c r="G547" s="3">
        <v>4068</v>
      </c>
      <c r="H547" t="s">
        <v>1313</v>
      </c>
      <c r="I547">
        <f>MONTH(Table1_1[[#This Row],[Order Date]])</f>
        <v>2</v>
      </c>
      <c r="J547" t="str">
        <f>TEXT(Table1_1[[#This Row],[Order Date]],"[$-en-US]mmm")</f>
        <v>Feb</v>
      </c>
    </row>
    <row r="548" spans="1:10" x14ac:dyDescent="0.3">
      <c r="A548" t="s">
        <v>582</v>
      </c>
      <c r="B548" s="2">
        <v>45574</v>
      </c>
      <c r="C548" t="s">
        <v>1274</v>
      </c>
      <c r="D548" t="s">
        <v>1290</v>
      </c>
      <c r="E548">
        <v>9</v>
      </c>
      <c r="F548" s="3">
        <v>193</v>
      </c>
      <c r="G548" s="3">
        <v>1737</v>
      </c>
      <c r="H548" t="s">
        <v>1313</v>
      </c>
      <c r="I548">
        <f>MONTH(Table1_1[[#This Row],[Order Date]])</f>
        <v>10</v>
      </c>
      <c r="J548" t="str">
        <f>TEXT(Table1_1[[#This Row],[Order Date]],"[$-en-US]mmm")</f>
        <v>Oct</v>
      </c>
    </row>
    <row r="549" spans="1:10" x14ac:dyDescent="0.3">
      <c r="A549" t="s">
        <v>583</v>
      </c>
      <c r="B549" s="2">
        <v>45528</v>
      </c>
      <c r="C549" t="s">
        <v>1280</v>
      </c>
      <c r="D549" t="s">
        <v>1290</v>
      </c>
      <c r="E549">
        <v>9</v>
      </c>
      <c r="F549" s="3">
        <v>451</v>
      </c>
      <c r="G549" s="3">
        <v>4059</v>
      </c>
      <c r="H549" t="s">
        <v>1313</v>
      </c>
      <c r="I549">
        <f>MONTH(Table1_1[[#This Row],[Order Date]])</f>
        <v>8</v>
      </c>
      <c r="J549" t="str">
        <f>TEXT(Table1_1[[#This Row],[Order Date]],"[$-en-US]mmm")</f>
        <v>Aug</v>
      </c>
    </row>
    <row r="550" spans="1:10" x14ac:dyDescent="0.3">
      <c r="A550" t="s">
        <v>584</v>
      </c>
      <c r="B550" s="2">
        <v>45619</v>
      </c>
      <c r="C550" t="s">
        <v>1275</v>
      </c>
      <c r="D550" t="s">
        <v>1289</v>
      </c>
      <c r="E550">
        <v>3</v>
      </c>
      <c r="F550" s="3">
        <v>205</v>
      </c>
      <c r="G550" s="3">
        <v>615</v>
      </c>
      <c r="H550" t="s">
        <v>1316</v>
      </c>
      <c r="I550">
        <f>MONTH(Table1_1[[#This Row],[Order Date]])</f>
        <v>11</v>
      </c>
      <c r="J550" t="str">
        <f>TEXT(Table1_1[[#This Row],[Order Date]],"[$-en-US]mmm")</f>
        <v>Nov</v>
      </c>
    </row>
    <row r="551" spans="1:10" x14ac:dyDescent="0.3">
      <c r="A551" t="s">
        <v>585</v>
      </c>
      <c r="B551" s="2">
        <v>45606</v>
      </c>
      <c r="C551" t="s">
        <v>1275</v>
      </c>
      <c r="D551" t="s">
        <v>1289</v>
      </c>
      <c r="E551">
        <v>1</v>
      </c>
      <c r="F551" s="3">
        <v>770</v>
      </c>
      <c r="G551" s="3">
        <v>770</v>
      </c>
      <c r="H551" t="s">
        <v>1313</v>
      </c>
      <c r="I551">
        <f>MONTH(Table1_1[[#This Row],[Order Date]])</f>
        <v>11</v>
      </c>
      <c r="J551" t="str">
        <f>TEXT(Table1_1[[#This Row],[Order Date]],"[$-en-US]mmm")</f>
        <v>Nov</v>
      </c>
    </row>
    <row r="552" spans="1:10" x14ac:dyDescent="0.3">
      <c r="A552" t="s">
        <v>586</v>
      </c>
      <c r="B552" s="2">
        <v>45491</v>
      </c>
      <c r="C552" t="s">
        <v>1282</v>
      </c>
      <c r="D552" t="s">
        <v>1290</v>
      </c>
      <c r="E552">
        <v>10</v>
      </c>
      <c r="F552" s="3">
        <v>454</v>
      </c>
      <c r="G552" s="3">
        <v>4540</v>
      </c>
      <c r="H552" t="s">
        <v>1314</v>
      </c>
      <c r="I552">
        <f>MONTH(Table1_1[[#This Row],[Order Date]])</f>
        <v>7</v>
      </c>
      <c r="J552" t="str">
        <f>TEXT(Table1_1[[#This Row],[Order Date]],"[$-en-US]mmm")</f>
        <v>Jul</v>
      </c>
    </row>
    <row r="553" spans="1:10" x14ac:dyDescent="0.3">
      <c r="A553" t="s">
        <v>587</v>
      </c>
      <c r="B553" s="2">
        <v>45652</v>
      </c>
      <c r="C553" t="s">
        <v>1274</v>
      </c>
      <c r="D553" t="s">
        <v>1290</v>
      </c>
      <c r="E553">
        <v>4</v>
      </c>
      <c r="F553" s="3">
        <v>300</v>
      </c>
      <c r="G553" s="3">
        <v>1200</v>
      </c>
      <c r="H553" t="s">
        <v>1314</v>
      </c>
      <c r="I553">
        <f>MONTH(Table1_1[[#This Row],[Order Date]])</f>
        <v>12</v>
      </c>
      <c r="J553" t="str">
        <f>TEXT(Table1_1[[#This Row],[Order Date]],"[$-en-US]mmm")</f>
        <v>Dec</v>
      </c>
    </row>
    <row r="554" spans="1:10" x14ac:dyDescent="0.3">
      <c r="A554" t="s">
        <v>589</v>
      </c>
      <c r="B554" s="2">
        <v>45426</v>
      </c>
      <c r="C554" t="s">
        <v>1274</v>
      </c>
      <c r="D554" t="s">
        <v>1290</v>
      </c>
      <c r="E554">
        <v>8</v>
      </c>
      <c r="F554" s="3">
        <v>131</v>
      </c>
      <c r="G554" s="3">
        <v>1048</v>
      </c>
      <c r="H554" t="s">
        <v>1316</v>
      </c>
      <c r="I554">
        <f>MONTH(Table1_1[[#This Row],[Order Date]])</f>
        <v>5</v>
      </c>
      <c r="J554" t="str">
        <f>TEXT(Table1_1[[#This Row],[Order Date]],"[$-en-US]mmm")</f>
        <v>May</v>
      </c>
    </row>
    <row r="555" spans="1:10" x14ac:dyDescent="0.3">
      <c r="A555" t="s">
        <v>590</v>
      </c>
      <c r="B555" s="2">
        <v>45604</v>
      </c>
      <c r="C555" t="s">
        <v>1280</v>
      </c>
      <c r="D555" t="s">
        <v>1290</v>
      </c>
      <c r="E555">
        <v>10</v>
      </c>
      <c r="F555" s="3">
        <v>412</v>
      </c>
      <c r="G555" s="3">
        <v>4120</v>
      </c>
      <c r="H555" t="s">
        <v>1316</v>
      </c>
      <c r="I555">
        <f>MONTH(Table1_1[[#This Row],[Order Date]])</f>
        <v>11</v>
      </c>
      <c r="J555" t="str">
        <f>TEXT(Table1_1[[#This Row],[Order Date]],"[$-en-US]mmm")</f>
        <v>Nov</v>
      </c>
    </row>
    <row r="556" spans="1:10" x14ac:dyDescent="0.3">
      <c r="A556" t="s">
        <v>591</v>
      </c>
      <c r="B556" s="2">
        <v>45526</v>
      </c>
      <c r="C556" t="s">
        <v>1273</v>
      </c>
      <c r="D556" t="s">
        <v>1289</v>
      </c>
      <c r="E556">
        <v>6</v>
      </c>
      <c r="F556" s="3">
        <v>375</v>
      </c>
      <c r="G556" s="3">
        <v>2250</v>
      </c>
      <c r="H556" t="s">
        <v>1313</v>
      </c>
      <c r="I556">
        <f>MONTH(Table1_1[[#This Row],[Order Date]])</f>
        <v>8</v>
      </c>
      <c r="J556" t="str">
        <f>TEXT(Table1_1[[#This Row],[Order Date]],"[$-en-US]mmm")</f>
        <v>Aug</v>
      </c>
    </row>
    <row r="557" spans="1:10" x14ac:dyDescent="0.3">
      <c r="A557" t="s">
        <v>592</v>
      </c>
      <c r="B557" s="2">
        <v>45335</v>
      </c>
      <c r="C557" t="s">
        <v>1277</v>
      </c>
      <c r="D557" t="s">
        <v>1289</v>
      </c>
      <c r="E557">
        <v>10</v>
      </c>
      <c r="F557" s="3">
        <v>619</v>
      </c>
      <c r="G557" s="3">
        <v>6190</v>
      </c>
      <c r="H557" t="s">
        <v>1313</v>
      </c>
      <c r="I557">
        <f>MONTH(Table1_1[[#This Row],[Order Date]])</f>
        <v>2</v>
      </c>
      <c r="J557" t="str">
        <f>TEXT(Table1_1[[#This Row],[Order Date]],"[$-en-US]mmm")</f>
        <v>Feb</v>
      </c>
    </row>
    <row r="558" spans="1:10" x14ac:dyDescent="0.3">
      <c r="A558" t="s">
        <v>593</v>
      </c>
      <c r="B558" s="2">
        <v>45448</v>
      </c>
      <c r="C558" t="s">
        <v>1280</v>
      </c>
      <c r="D558" t="s">
        <v>1290</v>
      </c>
      <c r="E558">
        <v>2</v>
      </c>
      <c r="F558" s="3">
        <v>259</v>
      </c>
      <c r="G558" s="3">
        <v>518</v>
      </c>
      <c r="H558" t="s">
        <v>1314</v>
      </c>
      <c r="I558">
        <f>MONTH(Table1_1[[#This Row],[Order Date]])</f>
        <v>6</v>
      </c>
      <c r="J558" t="str">
        <f>TEXT(Table1_1[[#This Row],[Order Date]],"[$-en-US]mmm")</f>
        <v>Jun</v>
      </c>
    </row>
    <row r="559" spans="1:10" x14ac:dyDescent="0.3">
      <c r="A559" t="s">
        <v>595</v>
      </c>
      <c r="B559" s="2">
        <v>45586</v>
      </c>
      <c r="C559" t="s">
        <v>1275</v>
      </c>
      <c r="D559" t="s">
        <v>1289</v>
      </c>
      <c r="E559">
        <v>10</v>
      </c>
      <c r="F559" s="3">
        <v>156</v>
      </c>
      <c r="G559" s="3">
        <v>1560</v>
      </c>
      <c r="H559" t="s">
        <v>1316</v>
      </c>
      <c r="I559">
        <f>MONTH(Table1_1[[#This Row],[Order Date]])</f>
        <v>10</v>
      </c>
      <c r="J559" t="str">
        <f>TEXT(Table1_1[[#This Row],[Order Date]],"[$-en-US]mmm")</f>
        <v>Oct</v>
      </c>
    </row>
    <row r="560" spans="1:10" x14ac:dyDescent="0.3">
      <c r="A560" t="s">
        <v>596</v>
      </c>
      <c r="B560" s="2">
        <v>45617</v>
      </c>
      <c r="C560" t="s">
        <v>1275</v>
      </c>
      <c r="D560" t="s">
        <v>1289</v>
      </c>
      <c r="E560">
        <v>3</v>
      </c>
      <c r="F560" s="3">
        <v>513</v>
      </c>
      <c r="G560" s="3">
        <v>1539</v>
      </c>
      <c r="H560" t="s">
        <v>1313</v>
      </c>
      <c r="I560">
        <f>MONTH(Table1_1[[#This Row],[Order Date]])</f>
        <v>11</v>
      </c>
      <c r="J560" t="str">
        <f>TEXT(Table1_1[[#This Row],[Order Date]],"[$-en-US]mmm")</f>
        <v>Nov</v>
      </c>
    </row>
    <row r="561" spans="1:10" x14ac:dyDescent="0.3">
      <c r="A561" t="s">
        <v>597</v>
      </c>
      <c r="B561" s="2">
        <v>45363</v>
      </c>
      <c r="C561" t="s">
        <v>1279</v>
      </c>
      <c r="D561" t="s">
        <v>1289</v>
      </c>
      <c r="E561">
        <v>8</v>
      </c>
      <c r="F561" s="3">
        <v>310</v>
      </c>
      <c r="G561" s="3">
        <v>2480</v>
      </c>
      <c r="H561" t="s">
        <v>1313</v>
      </c>
      <c r="I561">
        <f>MONTH(Table1_1[[#This Row],[Order Date]])</f>
        <v>3</v>
      </c>
      <c r="J561" t="str">
        <f>TEXT(Table1_1[[#This Row],[Order Date]],"[$-en-US]mmm")</f>
        <v>Mar</v>
      </c>
    </row>
    <row r="562" spans="1:10" x14ac:dyDescent="0.3">
      <c r="A562" t="s">
        <v>598</v>
      </c>
      <c r="B562" s="2">
        <v>45319</v>
      </c>
      <c r="C562" t="s">
        <v>1280</v>
      </c>
      <c r="D562" t="s">
        <v>1290</v>
      </c>
      <c r="E562">
        <v>8</v>
      </c>
      <c r="F562" s="3">
        <v>649</v>
      </c>
      <c r="G562" s="3">
        <v>5192</v>
      </c>
      <c r="H562" t="s">
        <v>1315</v>
      </c>
      <c r="I562">
        <f>MONTH(Table1_1[[#This Row],[Order Date]])</f>
        <v>1</v>
      </c>
      <c r="J562" t="str">
        <f>TEXT(Table1_1[[#This Row],[Order Date]],"[$-en-US]mmm")</f>
        <v>Jan</v>
      </c>
    </row>
    <row r="563" spans="1:10" x14ac:dyDescent="0.3">
      <c r="A563" t="s">
        <v>599</v>
      </c>
      <c r="B563" s="2">
        <v>45391</v>
      </c>
      <c r="C563" t="s">
        <v>1276</v>
      </c>
      <c r="D563" t="s">
        <v>1290</v>
      </c>
      <c r="E563">
        <v>8</v>
      </c>
      <c r="F563" s="3">
        <v>154</v>
      </c>
      <c r="G563" s="3">
        <v>1232</v>
      </c>
      <c r="H563" t="s">
        <v>1316</v>
      </c>
      <c r="I563">
        <f>MONTH(Table1_1[[#This Row],[Order Date]])</f>
        <v>4</v>
      </c>
      <c r="J563" t="str">
        <f>TEXT(Table1_1[[#This Row],[Order Date]],"[$-en-US]mmm")</f>
        <v>Apr</v>
      </c>
    </row>
    <row r="564" spans="1:10" x14ac:dyDescent="0.3">
      <c r="A564" t="s">
        <v>600</v>
      </c>
      <c r="B564" s="2">
        <v>45543</v>
      </c>
      <c r="C564" t="s">
        <v>1282</v>
      </c>
      <c r="D564" t="s">
        <v>1290</v>
      </c>
      <c r="E564">
        <v>7</v>
      </c>
      <c r="F564" s="3">
        <v>716</v>
      </c>
      <c r="G564" s="3">
        <v>5012</v>
      </c>
      <c r="H564" t="s">
        <v>1316</v>
      </c>
      <c r="I564">
        <f>MONTH(Table1_1[[#This Row],[Order Date]])</f>
        <v>9</v>
      </c>
      <c r="J564" t="str">
        <f>TEXT(Table1_1[[#This Row],[Order Date]],"[$-en-US]mmm")</f>
        <v>Sep</v>
      </c>
    </row>
    <row r="565" spans="1:10" x14ac:dyDescent="0.3">
      <c r="A565" t="s">
        <v>601</v>
      </c>
      <c r="B565" s="2">
        <v>45334</v>
      </c>
      <c r="C565" t="s">
        <v>1282</v>
      </c>
      <c r="D565" t="s">
        <v>1290</v>
      </c>
      <c r="E565">
        <v>8</v>
      </c>
      <c r="F565" s="3">
        <v>186</v>
      </c>
      <c r="G565" s="3">
        <v>1488</v>
      </c>
      <c r="H565" t="s">
        <v>1314</v>
      </c>
      <c r="I565">
        <f>MONTH(Table1_1[[#This Row],[Order Date]])</f>
        <v>2</v>
      </c>
      <c r="J565" t="str">
        <f>TEXT(Table1_1[[#This Row],[Order Date]],"[$-en-US]mmm")</f>
        <v>Feb</v>
      </c>
    </row>
    <row r="566" spans="1:10" x14ac:dyDescent="0.3">
      <c r="A566" t="s">
        <v>602</v>
      </c>
      <c r="B566" s="2">
        <v>45432</v>
      </c>
      <c r="C566" t="s">
        <v>1274</v>
      </c>
      <c r="D566" t="s">
        <v>1290</v>
      </c>
      <c r="E566">
        <v>5</v>
      </c>
      <c r="F566" s="3">
        <v>48</v>
      </c>
      <c r="G566" s="3">
        <v>240</v>
      </c>
      <c r="H566" t="s">
        <v>1313</v>
      </c>
      <c r="I566">
        <f>MONTH(Table1_1[[#This Row],[Order Date]])</f>
        <v>5</v>
      </c>
      <c r="J566" t="str">
        <f>TEXT(Table1_1[[#This Row],[Order Date]],"[$-en-US]mmm")</f>
        <v>May</v>
      </c>
    </row>
    <row r="567" spans="1:10" x14ac:dyDescent="0.3">
      <c r="A567" t="s">
        <v>603</v>
      </c>
      <c r="B567" s="2">
        <v>45526</v>
      </c>
      <c r="C567" t="s">
        <v>1277</v>
      </c>
      <c r="D567" t="s">
        <v>1289</v>
      </c>
      <c r="E567">
        <v>3</v>
      </c>
      <c r="F567" s="3">
        <v>814</v>
      </c>
      <c r="G567" s="3">
        <v>2442</v>
      </c>
      <c r="H567" t="s">
        <v>1316</v>
      </c>
      <c r="I567">
        <f>MONTH(Table1_1[[#This Row],[Order Date]])</f>
        <v>8</v>
      </c>
      <c r="J567" t="str">
        <f>TEXT(Table1_1[[#This Row],[Order Date]],"[$-en-US]mmm")</f>
        <v>Aug</v>
      </c>
    </row>
    <row r="568" spans="1:10" x14ac:dyDescent="0.3">
      <c r="A568" t="s">
        <v>604</v>
      </c>
      <c r="B568" s="2">
        <v>45429</v>
      </c>
      <c r="C568" t="s">
        <v>1273</v>
      </c>
      <c r="D568" t="s">
        <v>1289</v>
      </c>
      <c r="E568">
        <v>10</v>
      </c>
      <c r="F568" s="3">
        <v>131</v>
      </c>
      <c r="G568" s="3">
        <v>1310</v>
      </c>
      <c r="H568" t="s">
        <v>1315</v>
      </c>
      <c r="I568">
        <f>MONTH(Table1_1[[#This Row],[Order Date]])</f>
        <v>5</v>
      </c>
      <c r="J568" t="str">
        <f>TEXT(Table1_1[[#This Row],[Order Date]],"[$-en-US]mmm")</f>
        <v>May</v>
      </c>
    </row>
    <row r="569" spans="1:10" x14ac:dyDescent="0.3">
      <c r="A569" t="s">
        <v>605</v>
      </c>
      <c r="B569" s="2">
        <v>45403</v>
      </c>
      <c r="C569" t="s">
        <v>1276</v>
      </c>
      <c r="D569" t="s">
        <v>1290</v>
      </c>
      <c r="E569">
        <v>8</v>
      </c>
      <c r="F569" s="3">
        <v>574</v>
      </c>
      <c r="G569" s="3">
        <v>4592</v>
      </c>
      <c r="H569" t="s">
        <v>1316</v>
      </c>
      <c r="I569">
        <f>MONTH(Table1_1[[#This Row],[Order Date]])</f>
        <v>4</v>
      </c>
      <c r="J569" t="str">
        <f>TEXT(Table1_1[[#This Row],[Order Date]],"[$-en-US]mmm")</f>
        <v>Apr</v>
      </c>
    </row>
    <row r="570" spans="1:10" x14ac:dyDescent="0.3">
      <c r="A570" t="s">
        <v>606</v>
      </c>
      <c r="B570" s="2">
        <v>45308</v>
      </c>
      <c r="C570" t="s">
        <v>1273</v>
      </c>
      <c r="D570" t="s">
        <v>1289</v>
      </c>
      <c r="E570">
        <v>4</v>
      </c>
      <c r="F570" s="3">
        <v>319</v>
      </c>
      <c r="G570" s="3">
        <v>1276</v>
      </c>
      <c r="H570" t="s">
        <v>1316</v>
      </c>
      <c r="I570">
        <f>MONTH(Table1_1[[#This Row],[Order Date]])</f>
        <v>1</v>
      </c>
      <c r="J570" t="str">
        <f>TEXT(Table1_1[[#This Row],[Order Date]],"[$-en-US]mmm")</f>
        <v>Jan</v>
      </c>
    </row>
    <row r="571" spans="1:10" x14ac:dyDescent="0.3">
      <c r="A571" t="s">
        <v>607</v>
      </c>
      <c r="B571" s="2">
        <v>45336</v>
      </c>
      <c r="C571" t="s">
        <v>1277</v>
      </c>
      <c r="D571" t="s">
        <v>1289</v>
      </c>
      <c r="E571">
        <v>6</v>
      </c>
      <c r="F571" s="3">
        <v>897</v>
      </c>
      <c r="G571" s="3">
        <v>5382</v>
      </c>
      <c r="H571" t="s">
        <v>1316</v>
      </c>
      <c r="I571">
        <f>MONTH(Table1_1[[#This Row],[Order Date]])</f>
        <v>2</v>
      </c>
      <c r="J571" t="str">
        <f>TEXT(Table1_1[[#This Row],[Order Date]],"[$-en-US]mmm")</f>
        <v>Feb</v>
      </c>
    </row>
    <row r="572" spans="1:10" x14ac:dyDescent="0.3">
      <c r="A572" t="s">
        <v>608</v>
      </c>
      <c r="B572" s="2">
        <v>45593</v>
      </c>
      <c r="C572" t="s">
        <v>1273</v>
      </c>
      <c r="D572" t="s">
        <v>1289</v>
      </c>
      <c r="E572">
        <v>4</v>
      </c>
      <c r="F572" s="3">
        <v>229</v>
      </c>
      <c r="G572" s="3">
        <v>916</v>
      </c>
      <c r="H572" t="s">
        <v>1315</v>
      </c>
      <c r="I572">
        <f>MONTH(Table1_1[[#This Row],[Order Date]])</f>
        <v>10</v>
      </c>
      <c r="J572" t="str">
        <f>TEXT(Table1_1[[#This Row],[Order Date]],"[$-en-US]mmm")</f>
        <v>Oct</v>
      </c>
    </row>
    <row r="573" spans="1:10" x14ac:dyDescent="0.3">
      <c r="A573" t="s">
        <v>609</v>
      </c>
      <c r="B573" s="2">
        <v>45363</v>
      </c>
      <c r="C573" t="s">
        <v>1275</v>
      </c>
      <c r="D573" t="s">
        <v>1289</v>
      </c>
      <c r="E573">
        <v>3</v>
      </c>
      <c r="F573" s="3">
        <v>645</v>
      </c>
      <c r="G573" s="3">
        <v>1935</v>
      </c>
      <c r="H573" t="s">
        <v>1313</v>
      </c>
      <c r="I573">
        <f>MONTH(Table1_1[[#This Row],[Order Date]])</f>
        <v>3</v>
      </c>
      <c r="J573" t="str">
        <f>TEXT(Table1_1[[#This Row],[Order Date]],"[$-en-US]mmm")</f>
        <v>Mar</v>
      </c>
    </row>
    <row r="574" spans="1:10" x14ac:dyDescent="0.3">
      <c r="A574" t="s">
        <v>610</v>
      </c>
      <c r="B574" s="2">
        <v>45471</v>
      </c>
      <c r="C574" t="s">
        <v>1274</v>
      </c>
      <c r="D574" t="s">
        <v>1290</v>
      </c>
      <c r="E574">
        <v>1</v>
      </c>
      <c r="F574" s="3">
        <v>598</v>
      </c>
      <c r="G574" s="3">
        <v>598</v>
      </c>
      <c r="H574" t="s">
        <v>1315</v>
      </c>
      <c r="I574">
        <f>MONTH(Table1_1[[#This Row],[Order Date]])</f>
        <v>6</v>
      </c>
      <c r="J574" t="str">
        <f>TEXT(Table1_1[[#This Row],[Order Date]],"[$-en-US]mmm")</f>
        <v>Jun</v>
      </c>
    </row>
    <row r="575" spans="1:10" x14ac:dyDescent="0.3">
      <c r="A575" t="s">
        <v>611</v>
      </c>
      <c r="B575" s="2">
        <v>45441</v>
      </c>
      <c r="C575" t="s">
        <v>1279</v>
      </c>
      <c r="D575" t="s">
        <v>1289</v>
      </c>
      <c r="E575">
        <v>6</v>
      </c>
      <c r="F575" s="3">
        <v>735</v>
      </c>
      <c r="G575" s="3">
        <v>4410</v>
      </c>
      <c r="H575" t="s">
        <v>1315</v>
      </c>
      <c r="I575">
        <f>MONTH(Table1_1[[#This Row],[Order Date]])</f>
        <v>5</v>
      </c>
      <c r="J575" t="str">
        <f>TEXT(Table1_1[[#This Row],[Order Date]],"[$-en-US]mmm")</f>
        <v>May</v>
      </c>
    </row>
    <row r="576" spans="1:10" x14ac:dyDescent="0.3">
      <c r="A576" t="s">
        <v>612</v>
      </c>
      <c r="B576" s="2">
        <v>45340</v>
      </c>
      <c r="C576" t="s">
        <v>1277</v>
      </c>
      <c r="D576" t="s">
        <v>1289</v>
      </c>
      <c r="E576">
        <v>9</v>
      </c>
      <c r="F576" s="3">
        <v>710</v>
      </c>
      <c r="G576" s="3">
        <v>6390</v>
      </c>
      <c r="H576" t="s">
        <v>1313</v>
      </c>
      <c r="I576">
        <f>MONTH(Table1_1[[#This Row],[Order Date]])</f>
        <v>2</v>
      </c>
      <c r="J576" t="str">
        <f>TEXT(Table1_1[[#This Row],[Order Date]],"[$-en-US]mmm")</f>
        <v>Feb</v>
      </c>
    </row>
    <row r="577" spans="1:10" x14ac:dyDescent="0.3">
      <c r="A577" t="s">
        <v>613</v>
      </c>
      <c r="B577" s="2">
        <v>45627</v>
      </c>
      <c r="C577" t="s">
        <v>1275</v>
      </c>
      <c r="D577" t="s">
        <v>1289</v>
      </c>
      <c r="E577">
        <v>1</v>
      </c>
      <c r="F577" s="3">
        <v>298</v>
      </c>
      <c r="G577" s="3">
        <v>298</v>
      </c>
      <c r="H577" t="s">
        <v>1313</v>
      </c>
      <c r="I577">
        <f>MONTH(Table1_1[[#This Row],[Order Date]])</f>
        <v>12</v>
      </c>
      <c r="J577" t="str">
        <f>TEXT(Table1_1[[#This Row],[Order Date]],"[$-en-US]mmm")</f>
        <v>Dec</v>
      </c>
    </row>
    <row r="578" spans="1:10" x14ac:dyDescent="0.3">
      <c r="A578" t="s">
        <v>614</v>
      </c>
      <c r="B578" s="2">
        <v>45656</v>
      </c>
      <c r="C578" t="s">
        <v>1279</v>
      </c>
      <c r="D578" t="s">
        <v>1289</v>
      </c>
      <c r="E578">
        <v>4</v>
      </c>
      <c r="F578" s="3">
        <v>164</v>
      </c>
      <c r="G578" s="3">
        <v>656</v>
      </c>
      <c r="H578" t="s">
        <v>1315</v>
      </c>
      <c r="I578">
        <f>MONTH(Table1_1[[#This Row],[Order Date]])</f>
        <v>12</v>
      </c>
      <c r="J578" t="str">
        <f>TEXT(Table1_1[[#This Row],[Order Date]],"[$-en-US]mmm")</f>
        <v>Dec</v>
      </c>
    </row>
    <row r="579" spans="1:10" x14ac:dyDescent="0.3">
      <c r="A579" t="s">
        <v>615</v>
      </c>
      <c r="B579" s="2">
        <v>45364</v>
      </c>
      <c r="C579" t="s">
        <v>1274</v>
      </c>
      <c r="D579" t="s">
        <v>1290</v>
      </c>
      <c r="E579">
        <v>7</v>
      </c>
      <c r="F579" s="3">
        <v>516</v>
      </c>
      <c r="G579" s="3">
        <v>3612</v>
      </c>
      <c r="H579" t="s">
        <v>1315</v>
      </c>
      <c r="I579">
        <f>MONTH(Table1_1[[#This Row],[Order Date]])</f>
        <v>3</v>
      </c>
      <c r="J579" t="str">
        <f>TEXT(Table1_1[[#This Row],[Order Date]],"[$-en-US]mmm")</f>
        <v>Mar</v>
      </c>
    </row>
    <row r="580" spans="1:10" x14ac:dyDescent="0.3">
      <c r="A580" t="s">
        <v>616</v>
      </c>
      <c r="B580" s="2">
        <v>45330</v>
      </c>
      <c r="C580" t="s">
        <v>1275</v>
      </c>
      <c r="D580" t="s">
        <v>1289</v>
      </c>
      <c r="E580">
        <v>7</v>
      </c>
      <c r="F580" s="3">
        <v>477</v>
      </c>
      <c r="G580" s="3">
        <v>3339</v>
      </c>
      <c r="H580" t="s">
        <v>1314</v>
      </c>
      <c r="I580">
        <f>MONTH(Table1_1[[#This Row],[Order Date]])</f>
        <v>2</v>
      </c>
      <c r="J580" t="str">
        <f>TEXT(Table1_1[[#This Row],[Order Date]],"[$-en-US]mmm")</f>
        <v>Feb</v>
      </c>
    </row>
    <row r="581" spans="1:10" x14ac:dyDescent="0.3">
      <c r="A581" t="s">
        <v>617</v>
      </c>
      <c r="B581" s="2">
        <v>45434</v>
      </c>
      <c r="C581" t="s">
        <v>1275</v>
      </c>
      <c r="D581" t="s">
        <v>1289</v>
      </c>
      <c r="E581">
        <v>9</v>
      </c>
      <c r="F581" s="3">
        <v>782</v>
      </c>
      <c r="G581" s="3">
        <v>7038</v>
      </c>
      <c r="H581" t="s">
        <v>1315</v>
      </c>
      <c r="I581">
        <f>MONTH(Table1_1[[#This Row],[Order Date]])</f>
        <v>5</v>
      </c>
      <c r="J581" t="str">
        <f>TEXT(Table1_1[[#This Row],[Order Date]],"[$-en-US]mmm")</f>
        <v>May</v>
      </c>
    </row>
    <row r="582" spans="1:10" x14ac:dyDescent="0.3">
      <c r="A582" t="s">
        <v>619</v>
      </c>
      <c r="B582" s="2">
        <v>45632</v>
      </c>
      <c r="C582" t="s">
        <v>1273</v>
      </c>
      <c r="D582" t="s">
        <v>1289</v>
      </c>
      <c r="E582">
        <v>8</v>
      </c>
      <c r="F582" s="3">
        <v>665</v>
      </c>
      <c r="G582" s="3">
        <v>5320</v>
      </c>
      <c r="H582" t="s">
        <v>1315</v>
      </c>
      <c r="I582">
        <f>MONTH(Table1_1[[#This Row],[Order Date]])</f>
        <v>12</v>
      </c>
      <c r="J582" t="str">
        <f>TEXT(Table1_1[[#This Row],[Order Date]],"[$-en-US]mmm")</f>
        <v>Dec</v>
      </c>
    </row>
    <row r="583" spans="1:10" x14ac:dyDescent="0.3">
      <c r="A583" t="s">
        <v>620</v>
      </c>
      <c r="B583" s="2">
        <v>45403</v>
      </c>
      <c r="C583" t="s">
        <v>1273</v>
      </c>
      <c r="D583" t="s">
        <v>1289</v>
      </c>
      <c r="E583">
        <v>9</v>
      </c>
      <c r="F583" s="3">
        <v>422</v>
      </c>
      <c r="G583" s="3">
        <v>3798</v>
      </c>
      <c r="H583" t="s">
        <v>1316</v>
      </c>
      <c r="I583">
        <f>MONTH(Table1_1[[#This Row],[Order Date]])</f>
        <v>4</v>
      </c>
      <c r="J583" t="str">
        <f>TEXT(Table1_1[[#This Row],[Order Date]],"[$-en-US]mmm")</f>
        <v>Apr</v>
      </c>
    </row>
    <row r="584" spans="1:10" x14ac:dyDescent="0.3">
      <c r="A584" t="s">
        <v>621</v>
      </c>
      <c r="B584" s="2">
        <v>45457</v>
      </c>
      <c r="C584" t="s">
        <v>1274</v>
      </c>
      <c r="D584" t="s">
        <v>1290</v>
      </c>
      <c r="E584">
        <v>8</v>
      </c>
      <c r="F584" s="3">
        <v>289</v>
      </c>
      <c r="G584" s="3">
        <v>2312</v>
      </c>
      <c r="H584" t="s">
        <v>1315</v>
      </c>
      <c r="I584">
        <f>MONTH(Table1_1[[#This Row],[Order Date]])</f>
        <v>6</v>
      </c>
      <c r="J584" t="str">
        <f>TEXT(Table1_1[[#This Row],[Order Date]],"[$-en-US]mmm")</f>
        <v>Jun</v>
      </c>
    </row>
    <row r="585" spans="1:10" x14ac:dyDescent="0.3">
      <c r="A585" t="s">
        <v>622</v>
      </c>
      <c r="B585" s="2">
        <v>45358</v>
      </c>
      <c r="C585" t="s">
        <v>1280</v>
      </c>
      <c r="D585" t="s">
        <v>1290</v>
      </c>
      <c r="E585">
        <v>9</v>
      </c>
      <c r="F585" s="3">
        <v>606</v>
      </c>
      <c r="G585" s="3">
        <v>5454</v>
      </c>
      <c r="H585" t="s">
        <v>1316</v>
      </c>
      <c r="I585">
        <f>MONTH(Table1_1[[#This Row],[Order Date]])</f>
        <v>3</v>
      </c>
      <c r="J585" t="str">
        <f>TEXT(Table1_1[[#This Row],[Order Date]],"[$-en-US]mmm")</f>
        <v>Mar</v>
      </c>
    </row>
    <row r="586" spans="1:10" x14ac:dyDescent="0.3">
      <c r="A586" t="s">
        <v>623</v>
      </c>
      <c r="B586" s="2">
        <v>45342</v>
      </c>
      <c r="C586" t="s">
        <v>1280</v>
      </c>
      <c r="D586" t="s">
        <v>1290</v>
      </c>
      <c r="E586">
        <v>1</v>
      </c>
      <c r="F586" s="3">
        <v>62</v>
      </c>
      <c r="G586" s="3">
        <v>62</v>
      </c>
      <c r="H586" t="s">
        <v>1316</v>
      </c>
      <c r="I586">
        <f>MONTH(Table1_1[[#This Row],[Order Date]])</f>
        <v>2</v>
      </c>
      <c r="J586" t="str">
        <f>TEXT(Table1_1[[#This Row],[Order Date]],"[$-en-US]mmm")</f>
        <v>Feb</v>
      </c>
    </row>
    <row r="587" spans="1:10" x14ac:dyDescent="0.3">
      <c r="A587" t="s">
        <v>624</v>
      </c>
      <c r="B587" s="2">
        <v>45372</v>
      </c>
      <c r="C587" t="s">
        <v>1276</v>
      </c>
      <c r="D587" t="s">
        <v>1290</v>
      </c>
      <c r="E587">
        <v>2</v>
      </c>
      <c r="F587" s="3">
        <v>893</v>
      </c>
      <c r="G587" s="3">
        <v>1786</v>
      </c>
      <c r="H587" t="s">
        <v>1316</v>
      </c>
      <c r="I587">
        <f>MONTH(Table1_1[[#This Row],[Order Date]])</f>
        <v>3</v>
      </c>
      <c r="J587" t="str">
        <f>TEXT(Table1_1[[#This Row],[Order Date]],"[$-en-US]mmm")</f>
        <v>Mar</v>
      </c>
    </row>
    <row r="588" spans="1:10" x14ac:dyDescent="0.3">
      <c r="A588" t="s">
        <v>625</v>
      </c>
      <c r="B588" s="2">
        <v>45395</v>
      </c>
      <c r="C588" t="s">
        <v>1282</v>
      </c>
      <c r="D588" t="s">
        <v>1290</v>
      </c>
      <c r="E588">
        <v>1</v>
      </c>
      <c r="F588" s="3">
        <v>453</v>
      </c>
      <c r="G588" s="3">
        <v>453</v>
      </c>
      <c r="H588" t="s">
        <v>1313</v>
      </c>
      <c r="I588">
        <f>MONTH(Table1_1[[#This Row],[Order Date]])</f>
        <v>4</v>
      </c>
      <c r="J588" t="str">
        <f>TEXT(Table1_1[[#This Row],[Order Date]],"[$-en-US]mmm")</f>
        <v>Apr</v>
      </c>
    </row>
    <row r="589" spans="1:10" x14ac:dyDescent="0.3">
      <c r="A589" t="s">
        <v>626</v>
      </c>
      <c r="B589" s="2">
        <v>45339</v>
      </c>
      <c r="C589" t="s">
        <v>1277</v>
      </c>
      <c r="D589" t="s">
        <v>1289</v>
      </c>
      <c r="E589">
        <v>3</v>
      </c>
      <c r="F589" s="3">
        <v>295</v>
      </c>
      <c r="G589" s="3">
        <v>885</v>
      </c>
      <c r="H589" t="s">
        <v>1315</v>
      </c>
      <c r="I589">
        <f>MONTH(Table1_1[[#This Row],[Order Date]])</f>
        <v>2</v>
      </c>
      <c r="J589" t="str">
        <f>TEXT(Table1_1[[#This Row],[Order Date]],"[$-en-US]mmm")</f>
        <v>Feb</v>
      </c>
    </row>
    <row r="590" spans="1:10" x14ac:dyDescent="0.3">
      <c r="A590" t="s">
        <v>627</v>
      </c>
      <c r="B590" s="2">
        <v>45632</v>
      </c>
      <c r="C590" t="s">
        <v>1277</v>
      </c>
      <c r="D590" t="s">
        <v>1289</v>
      </c>
      <c r="E590">
        <v>2</v>
      </c>
      <c r="F590" s="3">
        <v>395</v>
      </c>
      <c r="G590" s="3">
        <v>790</v>
      </c>
      <c r="H590" t="s">
        <v>1313</v>
      </c>
      <c r="I590">
        <f>MONTH(Table1_1[[#This Row],[Order Date]])</f>
        <v>12</v>
      </c>
      <c r="J590" t="str">
        <f>TEXT(Table1_1[[#This Row],[Order Date]],"[$-en-US]mmm")</f>
        <v>Dec</v>
      </c>
    </row>
    <row r="591" spans="1:10" x14ac:dyDescent="0.3">
      <c r="A591" t="s">
        <v>628</v>
      </c>
      <c r="B591" s="2">
        <v>45448</v>
      </c>
      <c r="C591" t="s">
        <v>1276</v>
      </c>
      <c r="D591" t="s">
        <v>1290</v>
      </c>
      <c r="E591">
        <v>7</v>
      </c>
      <c r="F591" s="3">
        <v>655</v>
      </c>
      <c r="G591" s="3">
        <v>4585</v>
      </c>
      <c r="H591" t="s">
        <v>1313</v>
      </c>
      <c r="I591">
        <f>MONTH(Table1_1[[#This Row],[Order Date]])</f>
        <v>6</v>
      </c>
      <c r="J591" t="str">
        <f>TEXT(Table1_1[[#This Row],[Order Date]],"[$-en-US]mmm")</f>
        <v>Jun</v>
      </c>
    </row>
    <row r="592" spans="1:10" x14ac:dyDescent="0.3">
      <c r="A592" t="s">
        <v>629</v>
      </c>
      <c r="B592" s="2">
        <v>45340</v>
      </c>
      <c r="C592" t="s">
        <v>1275</v>
      </c>
      <c r="D592" t="s">
        <v>1289</v>
      </c>
      <c r="E592">
        <v>2</v>
      </c>
      <c r="F592" s="3">
        <v>735</v>
      </c>
      <c r="G592" s="3">
        <v>1470</v>
      </c>
      <c r="H592" t="s">
        <v>1314</v>
      </c>
      <c r="I592">
        <f>MONTH(Table1_1[[#This Row],[Order Date]])</f>
        <v>2</v>
      </c>
      <c r="J592" t="str">
        <f>TEXT(Table1_1[[#This Row],[Order Date]],"[$-en-US]mmm")</f>
        <v>Feb</v>
      </c>
    </row>
    <row r="593" spans="1:10" x14ac:dyDescent="0.3">
      <c r="A593" t="s">
        <v>630</v>
      </c>
      <c r="B593" s="2">
        <v>45359</v>
      </c>
      <c r="C593" t="s">
        <v>1274</v>
      </c>
      <c r="D593" t="s">
        <v>1290</v>
      </c>
      <c r="E593">
        <v>8</v>
      </c>
      <c r="F593" s="3">
        <v>94</v>
      </c>
      <c r="G593" s="3">
        <v>752</v>
      </c>
      <c r="H593" t="s">
        <v>1313</v>
      </c>
      <c r="I593">
        <f>MONTH(Table1_1[[#This Row],[Order Date]])</f>
        <v>3</v>
      </c>
      <c r="J593" t="str">
        <f>TEXT(Table1_1[[#This Row],[Order Date]],"[$-en-US]mmm")</f>
        <v>Mar</v>
      </c>
    </row>
    <row r="594" spans="1:10" x14ac:dyDescent="0.3">
      <c r="A594" t="s">
        <v>631</v>
      </c>
      <c r="B594" s="2">
        <v>45648</v>
      </c>
      <c r="C594" t="s">
        <v>1282</v>
      </c>
      <c r="D594" t="s">
        <v>1290</v>
      </c>
      <c r="E594">
        <v>1</v>
      </c>
      <c r="F594" s="3">
        <v>23</v>
      </c>
      <c r="G594" s="3">
        <v>23</v>
      </c>
      <c r="H594" t="s">
        <v>1315</v>
      </c>
      <c r="I594">
        <f>MONTH(Table1_1[[#This Row],[Order Date]])</f>
        <v>12</v>
      </c>
      <c r="J594" t="str">
        <f>TEXT(Table1_1[[#This Row],[Order Date]],"[$-en-US]mmm")</f>
        <v>Dec</v>
      </c>
    </row>
    <row r="595" spans="1:10" x14ac:dyDescent="0.3">
      <c r="A595" t="s">
        <v>632</v>
      </c>
      <c r="B595" s="2">
        <v>45359</v>
      </c>
      <c r="C595" t="s">
        <v>1273</v>
      </c>
      <c r="D595" t="s">
        <v>1289</v>
      </c>
      <c r="E595">
        <v>7</v>
      </c>
      <c r="F595" s="3">
        <v>725</v>
      </c>
      <c r="G595" s="3">
        <v>5075</v>
      </c>
      <c r="H595" t="s">
        <v>1316</v>
      </c>
      <c r="I595">
        <f>MONTH(Table1_1[[#This Row],[Order Date]])</f>
        <v>3</v>
      </c>
      <c r="J595" t="str">
        <f>TEXT(Table1_1[[#This Row],[Order Date]],"[$-en-US]mmm")</f>
        <v>Mar</v>
      </c>
    </row>
    <row r="596" spans="1:10" x14ac:dyDescent="0.3">
      <c r="A596" t="s">
        <v>633</v>
      </c>
      <c r="B596" s="2">
        <v>45337</v>
      </c>
      <c r="C596" t="s">
        <v>1273</v>
      </c>
      <c r="D596" t="s">
        <v>1289</v>
      </c>
      <c r="E596">
        <v>4</v>
      </c>
      <c r="F596" s="3">
        <v>407</v>
      </c>
      <c r="G596" s="3">
        <v>1628</v>
      </c>
      <c r="H596" t="s">
        <v>1314</v>
      </c>
      <c r="I596">
        <f>MONTH(Table1_1[[#This Row],[Order Date]])</f>
        <v>2</v>
      </c>
      <c r="J596" t="str">
        <f>TEXT(Table1_1[[#This Row],[Order Date]],"[$-en-US]mmm")</f>
        <v>Feb</v>
      </c>
    </row>
    <row r="597" spans="1:10" x14ac:dyDescent="0.3">
      <c r="A597" t="s">
        <v>634</v>
      </c>
      <c r="B597" s="2">
        <v>45445</v>
      </c>
      <c r="C597" t="s">
        <v>1273</v>
      </c>
      <c r="D597" t="s">
        <v>1289</v>
      </c>
      <c r="E597">
        <v>6</v>
      </c>
      <c r="F597" s="3">
        <v>391</v>
      </c>
      <c r="G597" s="3">
        <v>2346</v>
      </c>
      <c r="H597" t="s">
        <v>1313</v>
      </c>
      <c r="I597">
        <f>MONTH(Table1_1[[#This Row],[Order Date]])</f>
        <v>6</v>
      </c>
      <c r="J597" t="str">
        <f>TEXT(Table1_1[[#This Row],[Order Date]],"[$-en-US]mmm")</f>
        <v>Jun</v>
      </c>
    </row>
    <row r="598" spans="1:10" x14ac:dyDescent="0.3">
      <c r="A598" t="s">
        <v>635</v>
      </c>
      <c r="B598" s="2">
        <v>45638</v>
      </c>
      <c r="C598" t="s">
        <v>1275</v>
      </c>
      <c r="D598" t="s">
        <v>1289</v>
      </c>
      <c r="E598">
        <v>3</v>
      </c>
      <c r="F598" s="3">
        <v>671</v>
      </c>
      <c r="G598" s="3">
        <v>2013</v>
      </c>
      <c r="H598" t="s">
        <v>1313</v>
      </c>
      <c r="I598">
        <f>MONTH(Table1_1[[#This Row],[Order Date]])</f>
        <v>12</v>
      </c>
      <c r="J598" t="str">
        <f>TEXT(Table1_1[[#This Row],[Order Date]],"[$-en-US]mmm")</f>
        <v>Dec</v>
      </c>
    </row>
    <row r="599" spans="1:10" x14ac:dyDescent="0.3">
      <c r="A599" t="s">
        <v>636</v>
      </c>
      <c r="B599" s="2">
        <v>45296</v>
      </c>
      <c r="C599" t="s">
        <v>1273</v>
      </c>
      <c r="D599" t="s">
        <v>1289</v>
      </c>
      <c r="E599">
        <v>9</v>
      </c>
      <c r="F599" s="3">
        <v>591</v>
      </c>
      <c r="G599" s="3">
        <v>5319</v>
      </c>
      <c r="H599" t="s">
        <v>1313</v>
      </c>
      <c r="I599">
        <f>MONTH(Table1_1[[#This Row],[Order Date]])</f>
        <v>1</v>
      </c>
      <c r="J599" t="str">
        <f>TEXT(Table1_1[[#This Row],[Order Date]],"[$-en-US]mmm")</f>
        <v>Jan</v>
      </c>
    </row>
    <row r="600" spans="1:10" x14ac:dyDescent="0.3">
      <c r="A600" t="s">
        <v>637</v>
      </c>
      <c r="B600" s="2">
        <v>45401</v>
      </c>
      <c r="C600" t="s">
        <v>1282</v>
      </c>
      <c r="D600" t="s">
        <v>1290</v>
      </c>
      <c r="E600">
        <v>6</v>
      </c>
      <c r="F600" s="3">
        <v>754</v>
      </c>
      <c r="G600" s="3">
        <v>4524</v>
      </c>
      <c r="H600" t="s">
        <v>1313</v>
      </c>
      <c r="I600">
        <f>MONTH(Table1_1[[#This Row],[Order Date]])</f>
        <v>4</v>
      </c>
      <c r="J600" t="str">
        <f>TEXT(Table1_1[[#This Row],[Order Date]],"[$-en-US]mmm")</f>
        <v>Apr</v>
      </c>
    </row>
    <row r="601" spans="1:10" x14ac:dyDescent="0.3">
      <c r="A601" t="s">
        <v>638</v>
      </c>
      <c r="B601" s="2">
        <v>45518</v>
      </c>
      <c r="C601" t="s">
        <v>1275</v>
      </c>
      <c r="D601" t="s">
        <v>1289</v>
      </c>
      <c r="E601">
        <v>10</v>
      </c>
      <c r="F601" s="3">
        <v>718</v>
      </c>
      <c r="G601" s="3">
        <v>7180</v>
      </c>
      <c r="H601" t="s">
        <v>1313</v>
      </c>
      <c r="I601">
        <f>MONTH(Table1_1[[#This Row],[Order Date]])</f>
        <v>8</v>
      </c>
      <c r="J601" t="str">
        <f>TEXT(Table1_1[[#This Row],[Order Date]],"[$-en-US]mmm")</f>
        <v>Aug</v>
      </c>
    </row>
    <row r="602" spans="1:10" x14ac:dyDescent="0.3">
      <c r="A602" t="s">
        <v>640</v>
      </c>
      <c r="B602" s="2">
        <v>45363</v>
      </c>
      <c r="C602" t="s">
        <v>1280</v>
      </c>
      <c r="D602" t="s">
        <v>1290</v>
      </c>
      <c r="E602">
        <v>7</v>
      </c>
      <c r="F602" s="3">
        <v>337</v>
      </c>
      <c r="G602" s="3">
        <v>2359</v>
      </c>
      <c r="H602" t="s">
        <v>1313</v>
      </c>
      <c r="I602">
        <f>MONTH(Table1_1[[#This Row],[Order Date]])</f>
        <v>3</v>
      </c>
      <c r="J602" t="str">
        <f>TEXT(Table1_1[[#This Row],[Order Date]],"[$-en-US]mmm")</f>
        <v>Mar</v>
      </c>
    </row>
    <row r="603" spans="1:10" x14ac:dyDescent="0.3">
      <c r="A603" t="s">
        <v>641</v>
      </c>
      <c r="B603" s="2">
        <v>45575</v>
      </c>
      <c r="C603" t="s">
        <v>1277</v>
      </c>
      <c r="D603" t="s">
        <v>1289</v>
      </c>
      <c r="E603">
        <v>2</v>
      </c>
      <c r="F603" s="3">
        <v>269</v>
      </c>
      <c r="G603" s="3">
        <v>538</v>
      </c>
      <c r="H603" t="s">
        <v>1315</v>
      </c>
      <c r="I603">
        <f>MONTH(Table1_1[[#This Row],[Order Date]])</f>
        <v>10</v>
      </c>
      <c r="J603" t="str">
        <f>TEXT(Table1_1[[#This Row],[Order Date]],"[$-en-US]mmm")</f>
        <v>Oct</v>
      </c>
    </row>
    <row r="604" spans="1:10" x14ac:dyDescent="0.3">
      <c r="A604" t="s">
        <v>642</v>
      </c>
      <c r="B604" s="2">
        <v>45557</v>
      </c>
      <c r="C604" t="s">
        <v>1276</v>
      </c>
      <c r="D604" t="s">
        <v>1290</v>
      </c>
      <c r="E604">
        <v>5</v>
      </c>
      <c r="F604" s="3">
        <v>225</v>
      </c>
      <c r="G604" s="3">
        <v>1125</v>
      </c>
      <c r="H604" t="s">
        <v>1313</v>
      </c>
      <c r="I604">
        <f>MONTH(Table1_1[[#This Row],[Order Date]])</f>
        <v>9</v>
      </c>
      <c r="J604" t="str">
        <f>TEXT(Table1_1[[#This Row],[Order Date]],"[$-en-US]mmm")</f>
        <v>Sep</v>
      </c>
    </row>
    <row r="605" spans="1:10" x14ac:dyDescent="0.3">
      <c r="A605" t="s">
        <v>643</v>
      </c>
      <c r="B605" s="2">
        <v>45319</v>
      </c>
      <c r="C605" t="s">
        <v>1275</v>
      </c>
      <c r="D605" t="s">
        <v>1289</v>
      </c>
      <c r="E605">
        <v>5</v>
      </c>
      <c r="F605" s="3">
        <v>676</v>
      </c>
      <c r="G605" s="3">
        <v>3380</v>
      </c>
      <c r="H605" t="s">
        <v>1313</v>
      </c>
      <c r="I605">
        <f>MONTH(Table1_1[[#This Row],[Order Date]])</f>
        <v>1</v>
      </c>
      <c r="J605" t="str">
        <f>TEXT(Table1_1[[#This Row],[Order Date]],"[$-en-US]mmm")</f>
        <v>Jan</v>
      </c>
    </row>
    <row r="606" spans="1:10" x14ac:dyDescent="0.3">
      <c r="A606" t="s">
        <v>644</v>
      </c>
      <c r="B606" s="2">
        <v>45415</v>
      </c>
      <c r="C606" t="s">
        <v>1282</v>
      </c>
      <c r="D606" t="s">
        <v>1290</v>
      </c>
      <c r="E606">
        <v>7</v>
      </c>
      <c r="F606" s="3">
        <v>130</v>
      </c>
      <c r="G606" s="3">
        <v>910</v>
      </c>
      <c r="H606" t="s">
        <v>1316</v>
      </c>
      <c r="I606">
        <f>MONTH(Table1_1[[#This Row],[Order Date]])</f>
        <v>5</v>
      </c>
      <c r="J606" t="str">
        <f>TEXT(Table1_1[[#This Row],[Order Date]],"[$-en-US]mmm")</f>
        <v>May</v>
      </c>
    </row>
    <row r="607" spans="1:10" x14ac:dyDescent="0.3">
      <c r="A607" t="s">
        <v>645</v>
      </c>
      <c r="B607" s="2">
        <v>45476</v>
      </c>
      <c r="C607" t="s">
        <v>1273</v>
      </c>
      <c r="D607" t="s">
        <v>1289</v>
      </c>
      <c r="E607">
        <v>9</v>
      </c>
      <c r="F607" s="3">
        <v>27</v>
      </c>
      <c r="G607" s="3">
        <v>243</v>
      </c>
      <c r="H607" t="s">
        <v>1315</v>
      </c>
      <c r="I607">
        <f>MONTH(Table1_1[[#This Row],[Order Date]])</f>
        <v>7</v>
      </c>
      <c r="J607" t="str">
        <f>TEXT(Table1_1[[#This Row],[Order Date]],"[$-en-US]mmm")</f>
        <v>Jul</v>
      </c>
    </row>
    <row r="608" spans="1:10" x14ac:dyDescent="0.3">
      <c r="A608" t="s">
        <v>646</v>
      </c>
      <c r="B608" s="2">
        <v>45583</v>
      </c>
      <c r="C608" t="s">
        <v>1279</v>
      </c>
      <c r="D608" t="s">
        <v>1289</v>
      </c>
      <c r="E608">
        <v>7</v>
      </c>
      <c r="F608" s="3">
        <v>896</v>
      </c>
      <c r="G608" s="3">
        <v>6272</v>
      </c>
      <c r="H608" t="s">
        <v>1316</v>
      </c>
      <c r="I608">
        <f>MONTH(Table1_1[[#This Row],[Order Date]])</f>
        <v>10</v>
      </c>
      <c r="J608" t="str">
        <f>TEXT(Table1_1[[#This Row],[Order Date]],"[$-en-US]mmm")</f>
        <v>Oct</v>
      </c>
    </row>
    <row r="609" spans="1:10" x14ac:dyDescent="0.3">
      <c r="A609" t="s">
        <v>647</v>
      </c>
      <c r="B609" s="2">
        <v>45380</v>
      </c>
      <c r="C609" t="s">
        <v>1280</v>
      </c>
      <c r="D609" t="s">
        <v>1290</v>
      </c>
      <c r="E609">
        <v>9</v>
      </c>
      <c r="F609" s="3">
        <v>714</v>
      </c>
      <c r="G609" s="3">
        <v>6426</v>
      </c>
      <c r="H609" t="s">
        <v>1316</v>
      </c>
      <c r="I609">
        <f>MONTH(Table1_1[[#This Row],[Order Date]])</f>
        <v>3</v>
      </c>
      <c r="J609" t="str">
        <f>TEXT(Table1_1[[#This Row],[Order Date]],"[$-en-US]mmm")</f>
        <v>Mar</v>
      </c>
    </row>
    <row r="610" spans="1:10" x14ac:dyDescent="0.3">
      <c r="A610" t="s">
        <v>648</v>
      </c>
      <c r="B610" s="2">
        <v>45326</v>
      </c>
      <c r="C610" t="s">
        <v>1273</v>
      </c>
      <c r="D610" t="s">
        <v>1289</v>
      </c>
      <c r="E610">
        <v>1</v>
      </c>
      <c r="F610" s="3">
        <v>616</v>
      </c>
      <c r="G610" s="3">
        <v>616</v>
      </c>
      <c r="H610" t="s">
        <v>1314</v>
      </c>
      <c r="I610">
        <f>MONTH(Table1_1[[#This Row],[Order Date]])</f>
        <v>2</v>
      </c>
      <c r="J610" t="str">
        <f>TEXT(Table1_1[[#This Row],[Order Date]],"[$-en-US]mmm")</f>
        <v>Feb</v>
      </c>
    </row>
    <row r="611" spans="1:10" x14ac:dyDescent="0.3">
      <c r="A611" t="s">
        <v>649</v>
      </c>
      <c r="B611" s="2">
        <v>45322</v>
      </c>
      <c r="C611" t="s">
        <v>1277</v>
      </c>
      <c r="D611" t="s">
        <v>1289</v>
      </c>
      <c r="E611">
        <v>4</v>
      </c>
      <c r="F611" s="3">
        <v>55</v>
      </c>
      <c r="G611" s="3">
        <v>220</v>
      </c>
      <c r="H611" t="s">
        <v>1316</v>
      </c>
      <c r="I611">
        <f>MONTH(Table1_1[[#This Row],[Order Date]])</f>
        <v>1</v>
      </c>
      <c r="J611" t="str">
        <f>TEXT(Table1_1[[#This Row],[Order Date]],"[$-en-US]mmm")</f>
        <v>Jan</v>
      </c>
    </row>
    <row r="612" spans="1:10" x14ac:dyDescent="0.3">
      <c r="A612" t="s">
        <v>650</v>
      </c>
      <c r="B612" s="2">
        <v>45504</v>
      </c>
      <c r="C612" t="s">
        <v>1277</v>
      </c>
      <c r="D612" t="s">
        <v>1289</v>
      </c>
      <c r="E612">
        <v>9</v>
      </c>
      <c r="F612" s="3">
        <v>800</v>
      </c>
      <c r="G612" s="3">
        <v>7200</v>
      </c>
      <c r="H612" t="s">
        <v>1316</v>
      </c>
      <c r="I612">
        <f>MONTH(Table1_1[[#This Row],[Order Date]])</f>
        <v>7</v>
      </c>
      <c r="J612" t="str">
        <f>TEXT(Table1_1[[#This Row],[Order Date]],"[$-en-US]mmm")</f>
        <v>Jul</v>
      </c>
    </row>
    <row r="613" spans="1:10" x14ac:dyDescent="0.3">
      <c r="A613" t="s">
        <v>651</v>
      </c>
      <c r="B613" s="2">
        <v>45566</v>
      </c>
      <c r="C613" t="s">
        <v>1275</v>
      </c>
      <c r="D613" t="s">
        <v>1289</v>
      </c>
      <c r="E613">
        <v>2</v>
      </c>
      <c r="F613" s="3">
        <v>670</v>
      </c>
      <c r="G613" s="3">
        <v>1340</v>
      </c>
      <c r="H613" t="s">
        <v>1313</v>
      </c>
      <c r="I613">
        <f>MONTH(Table1_1[[#This Row],[Order Date]])</f>
        <v>10</v>
      </c>
      <c r="J613" t="str">
        <f>TEXT(Table1_1[[#This Row],[Order Date]],"[$-en-US]mmm")</f>
        <v>Oct</v>
      </c>
    </row>
    <row r="614" spans="1:10" x14ac:dyDescent="0.3">
      <c r="A614" t="s">
        <v>652</v>
      </c>
      <c r="B614" s="2">
        <v>45332</v>
      </c>
      <c r="C614" t="s">
        <v>1277</v>
      </c>
      <c r="D614" t="s">
        <v>1289</v>
      </c>
      <c r="E614">
        <v>2</v>
      </c>
      <c r="F614" s="3">
        <v>332</v>
      </c>
      <c r="G614" s="3">
        <v>664</v>
      </c>
      <c r="H614" t="s">
        <v>1313</v>
      </c>
      <c r="I614">
        <f>MONTH(Table1_1[[#This Row],[Order Date]])</f>
        <v>2</v>
      </c>
      <c r="J614" t="str">
        <f>TEXT(Table1_1[[#This Row],[Order Date]],"[$-en-US]mmm")</f>
        <v>Feb</v>
      </c>
    </row>
    <row r="615" spans="1:10" x14ac:dyDescent="0.3">
      <c r="A615" t="s">
        <v>653</v>
      </c>
      <c r="B615" s="2">
        <v>45492</v>
      </c>
      <c r="C615" t="s">
        <v>1279</v>
      </c>
      <c r="D615" t="s">
        <v>1289</v>
      </c>
      <c r="E615">
        <v>9</v>
      </c>
      <c r="F615" s="3">
        <v>349</v>
      </c>
      <c r="G615" s="3">
        <v>3141</v>
      </c>
      <c r="H615" t="s">
        <v>1314</v>
      </c>
      <c r="I615">
        <f>MONTH(Table1_1[[#This Row],[Order Date]])</f>
        <v>7</v>
      </c>
      <c r="J615" t="str">
        <f>TEXT(Table1_1[[#This Row],[Order Date]],"[$-en-US]mmm")</f>
        <v>Jul</v>
      </c>
    </row>
    <row r="616" spans="1:10" x14ac:dyDescent="0.3">
      <c r="A616" t="s">
        <v>654</v>
      </c>
      <c r="B616" s="2">
        <v>45414</v>
      </c>
      <c r="C616" t="s">
        <v>1277</v>
      </c>
      <c r="D616" t="s">
        <v>1289</v>
      </c>
      <c r="E616">
        <v>7</v>
      </c>
      <c r="F616" s="3">
        <v>762</v>
      </c>
      <c r="G616" s="3">
        <v>5334</v>
      </c>
      <c r="H616" t="s">
        <v>1314</v>
      </c>
      <c r="I616">
        <f>MONTH(Table1_1[[#This Row],[Order Date]])</f>
        <v>5</v>
      </c>
      <c r="J616" t="str">
        <f>TEXT(Table1_1[[#This Row],[Order Date]],"[$-en-US]mmm")</f>
        <v>May</v>
      </c>
    </row>
    <row r="617" spans="1:10" x14ac:dyDescent="0.3">
      <c r="A617" t="s">
        <v>655</v>
      </c>
      <c r="B617" s="2">
        <v>45351</v>
      </c>
      <c r="C617" t="s">
        <v>1274</v>
      </c>
      <c r="D617" t="s">
        <v>1290</v>
      </c>
      <c r="E617">
        <v>2</v>
      </c>
      <c r="F617" s="3">
        <v>459</v>
      </c>
      <c r="G617" s="3">
        <v>918</v>
      </c>
      <c r="H617" t="s">
        <v>1316</v>
      </c>
      <c r="I617">
        <f>MONTH(Table1_1[[#This Row],[Order Date]])</f>
        <v>2</v>
      </c>
      <c r="J617" t="str">
        <f>TEXT(Table1_1[[#This Row],[Order Date]],"[$-en-US]mmm")</f>
        <v>Feb</v>
      </c>
    </row>
    <row r="618" spans="1:10" x14ac:dyDescent="0.3">
      <c r="A618" t="s">
        <v>656</v>
      </c>
      <c r="B618" s="2">
        <v>45628</v>
      </c>
      <c r="C618" t="s">
        <v>1276</v>
      </c>
      <c r="D618" t="s">
        <v>1290</v>
      </c>
      <c r="E618">
        <v>5</v>
      </c>
      <c r="F618" s="3">
        <v>697</v>
      </c>
      <c r="G618" s="3">
        <v>3485</v>
      </c>
      <c r="H618" t="s">
        <v>1313</v>
      </c>
      <c r="I618">
        <f>MONTH(Table1_1[[#This Row],[Order Date]])</f>
        <v>12</v>
      </c>
      <c r="J618" t="str">
        <f>TEXT(Table1_1[[#This Row],[Order Date]],"[$-en-US]mmm")</f>
        <v>Dec</v>
      </c>
    </row>
    <row r="619" spans="1:10" x14ac:dyDescent="0.3">
      <c r="A619" t="s">
        <v>657</v>
      </c>
      <c r="B619" s="2">
        <v>45362</v>
      </c>
      <c r="C619" t="s">
        <v>1273</v>
      </c>
      <c r="D619" t="s">
        <v>1289</v>
      </c>
      <c r="E619">
        <v>1</v>
      </c>
      <c r="F619" s="3">
        <v>739</v>
      </c>
      <c r="G619" s="3">
        <v>739</v>
      </c>
      <c r="H619" t="s">
        <v>1314</v>
      </c>
      <c r="I619">
        <f>MONTH(Table1_1[[#This Row],[Order Date]])</f>
        <v>3</v>
      </c>
      <c r="J619" t="str">
        <f>TEXT(Table1_1[[#This Row],[Order Date]],"[$-en-US]mmm")</f>
        <v>Mar</v>
      </c>
    </row>
    <row r="620" spans="1:10" x14ac:dyDescent="0.3">
      <c r="A620" t="s">
        <v>658</v>
      </c>
      <c r="B620" s="2">
        <v>45559</v>
      </c>
      <c r="C620" t="s">
        <v>1279</v>
      </c>
      <c r="D620" t="s">
        <v>1289</v>
      </c>
      <c r="E620">
        <v>8</v>
      </c>
      <c r="F620" s="3">
        <v>370</v>
      </c>
      <c r="G620" s="3">
        <v>2960</v>
      </c>
      <c r="H620" t="s">
        <v>1315</v>
      </c>
      <c r="I620">
        <f>MONTH(Table1_1[[#This Row],[Order Date]])</f>
        <v>9</v>
      </c>
      <c r="J620" t="str">
        <f>TEXT(Table1_1[[#This Row],[Order Date]],"[$-en-US]mmm")</f>
        <v>Sep</v>
      </c>
    </row>
    <row r="621" spans="1:10" x14ac:dyDescent="0.3">
      <c r="A621" t="s">
        <v>659</v>
      </c>
      <c r="B621" s="2">
        <v>45429</v>
      </c>
      <c r="C621" t="s">
        <v>1279</v>
      </c>
      <c r="D621" t="s">
        <v>1289</v>
      </c>
      <c r="E621">
        <v>6</v>
      </c>
      <c r="F621" s="3">
        <v>144</v>
      </c>
      <c r="G621" s="3">
        <v>864</v>
      </c>
      <c r="H621" t="s">
        <v>1314</v>
      </c>
      <c r="I621">
        <f>MONTH(Table1_1[[#This Row],[Order Date]])</f>
        <v>5</v>
      </c>
      <c r="J621" t="str">
        <f>TEXT(Table1_1[[#This Row],[Order Date]],"[$-en-US]mmm")</f>
        <v>May</v>
      </c>
    </row>
    <row r="622" spans="1:10" x14ac:dyDescent="0.3">
      <c r="A622" t="s">
        <v>660</v>
      </c>
      <c r="B622" s="2">
        <v>45511</v>
      </c>
      <c r="C622" t="s">
        <v>1276</v>
      </c>
      <c r="D622" t="s">
        <v>1290</v>
      </c>
      <c r="E622">
        <v>6</v>
      </c>
      <c r="F622" s="3">
        <v>841</v>
      </c>
      <c r="G622" s="3">
        <v>5046</v>
      </c>
      <c r="H622" t="s">
        <v>1315</v>
      </c>
      <c r="I622">
        <f>MONTH(Table1_1[[#This Row],[Order Date]])</f>
        <v>8</v>
      </c>
      <c r="J622" t="str">
        <f>TEXT(Table1_1[[#This Row],[Order Date]],"[$-en-US]mmm")</f>
        <v>Aug</v>
      </c>
    </row>
    <row r="623" spans="1:10" x14ac:dyDescent="0.3">
      <c r="A623" t="s">
        <v>661</v>
      </c>
      <c r="B623" s="2">
        <v>45587</v>
      </c>
      <c r="C623" t="s">
        <v>1273</v>
      </c>
      <c r="D623" t="s">
        <v>1289</v>
      </c>
      <c r="E623">
        <v>5</v>
      </c>
      <c r="F623" s="3">
        <v>744</v>
      </c>
      <c r="G623" s="3">
        <v>3720</v>
      </c>
      <c r="H623" t="s">
        <v>1314</v>
      </c>
      <c r="I623">
        <f>MONTH(Table1_1[[#This Row],[Order Date]])</f>
        <v>10</v>
      </c>
      <c r="J623" t="str">
        <f>TEXT(Table1_1[[#This Row],[Order Date]],"[$-en-US]mmm")</f>
        <v>Oct</v>
      </c>
    </row>
    <row r="624" spans="1:10" x14ac:dyDescent="0.3">
      <c r="A624" t="s">
        <v>662</v>
      </c>
      <c r="B624" s="2">
        <v>45476</v>
      </c>
      <c r="C624" t="s">
        <v>1282</v>
      </c>
      <c r="D624" t="s">
        <v>1290</v>
      </c>
      <c r="E624">
        <v>8</v>
      </c>
      <c r="F624" s="3">
        <v>538</v>
      </c>
      <c r="G624" s="3">
        <v>4304</v>
      </c>
      <c r="H624" t="s">
        <v>1314</v>
      </c>
      <c r="I624">
        <f>MONTH(Table1_1[[#This Row],[Order Date]])</f>
        <v>7</v>
      </c>
      <c r="J624" t="str">
        <f>TEXT(Table1_1[[#This Row],[Order Date]],"[$-en-US]mmm")</f>
        <v>Jul</v>
      </c>
    </row>
    <row r="625" spans="1:10" x14ac:dyDescent="0.3">
      <c r="A625" t="s">
        <v>663</v>
      </c>
      <c r="B625" s="2">
        <v>45480</v>
      </c>
      <c r="C625" t="s">
        <v>1282</v>
      </c>
      <c r="D625" t="s">
        <v>1290</v>
      </c>
      <c r="E625">
        <v>10</v>
      </c>
      <c r="F625" s="3">
        <v>185</v>
      </c>
      <c r="G625" s="3">
        <v>1850</v>
      </c>
      <c r="H625" t="s">
        <v>1313</v>
      </c>
      <c r="I625">
        <f>MONTH(Table1_1[[#This Row],[Order Date]])</f>
        <v>7</v>
      </c>
      <c r="J625" t="str">
        <f>TEXT(Table1_1[[#This Row],[Order Date]],"[$-en-US]mmm")</f>
        <v>Jul</v>
      </c>
    </row>
    <row r="626" spans="1:10" x14ac:dyDescent="0.3">
      <c r="A626" t="s">
        <v>664</v>
      </c>
      <c r="B626" s="2">
        <v>45637</v>
      </c>
      <c r="C626" t="s">
        <v>1277</v>
      </c>
      <c r="D626" t="s">
        <v>1289</v>
      </c>
      <c r="E626">
        <v>2</v>
      </c>
      <c r="F626" s="3">
        <v>602</v>
      </c>
      <c r="G626" s="3">
        <v>1204</v>
      </c>
      <c r="H626" t="s">
        <v>1314</v>
      </c>
      <c r="I626">
        <f>MONTH(Table1_1[[#This Row],[Order Date]])</f>
        <v>12</v>
      </c>
      <c r="J626" t="str">
        <f>TEXT(Table1_1[[#This Row],[Order Date]],"[$-en-US]mmm")</f>
        <v>Dec</v>
      </c>
    </row>
    <row r="627" spans="1:10" x14ac:dyDescent="0.3">
      <c r="A627" t="s">
        <v>665</v>
      </c>
      <c r="B627" s="2">
        <v>45314</v>
      </c>
      <c r="C627" t="s">
        <v>1274</v>
      </c>
      <c r="D627" t="s">
        <v>1290</v>
      </c>
      <c r="E627">
        <v>9</v>
      </c>
      <c r="F627" s="3">
        <v>17</v>
      </c>
      <c r="G627" s="3">
        <v>153</v>
      </c>
      <c r="H627" t="s">
        <v>1314</v>
      </c>
      <c r="I627">
        <f>MONTH(Table1_1[[#This Row],[Order Date]])</f>
        <v>1</v>
      </c>
      <c r="J627" t="str">
        <f>TEXT(Table1_1[[#This Row],[Order Date]],"[$-en-US]mmm")</f>
        <v>Jan</v>
      </c>
    </row>
    <row r="628" spans="1:10" x14ac:dyDescent="0.3">
      <c r="A628" t="s">
        <v>666</v>
      </c>
      <c r="B628" s="2">
        <v>45478</v>
      </c>
      <c r="C628" t="s">
        <v>1274</v>
      </c>
      <c r="D628" t="s">
        <v>1290</v>
      </c>
      <c r="E628">
        <v>1</v>
      </c>
      <c r="F628" s="3">
        <v>498</v>
      </c>
      <c r="G628" s="3">
        <v>498</v>
      </c>
      <c r="H628" t="s">
        <v>1316</v>
      </c>
      <c r="I628">
        <f>MONTH(Table1_1[[#This Row],[Order Date]])</f>
        <v>7</v>
      </c>
      <c r="J628" t="str">
        <f>TEXT(Table1_1[[#This Row],[Order Date]],"[$-en-US]mmm")</f>
        <v>Jul</v>
      </c>
    </row>
    <row r="629" spans="1:10" x14ac:dyDescent="0.3">
      <c r="A629" t="s">
        <v>667</v>
      </c>
      <c r="B629" s="2">
        <v>45310</v>
      </c>
      <c r="C629" t="s">
        <v>1279</v>
      </c>
      <c r="D629" t="s">
        <v>1289</v>
      </c>
      <c r="E629">
        <v>3</v>
      </c>
      <c r="F629" s="3">
        <v>893</v>
      </c>
      <c r="G629" s="3">
        <v>2679</v>
      </c>
      <c r="H629" t="s">
        <v>1316</v>
      </c>
      <c r="I629">
        <f>MONTH(Table1_1[[#This Row],[Order Date]])</f>
        <v>1</v>
      </c>
      <c r="J629" t="str">
        <f>TEXT(Table1_1[[#This Row],[Order Date]],"[$-en-US]mmm")</f>
        <v>Jan</v>
      </c>
    </row>
    <row r="630" spans="1:10" x14ac:dyDescent="0.3">
      <c r="A630" t="s">
        <v>670</v>
      </c>
      <c r="B630" s="2">
        <v>45556</v>
      </c>
      <c r="C630" t="s">
        <v>1276</v>
      </c>
      <c r="D630" t="s">
        <v>1290</v>
      </c>
      <c r="E630">
        <v>3</v>
      </c>
      <c r="F630" s="3">
        <v>243</v>
      </c>
      <c r="G630" s="3">
        <v>729</v>
      </c>
      <c r="H630" t="s">
        <v>1314</v>
      </c>
      <c r="I630">
        <f>MONTH(Table1_1[[#This Row],[Order Date]])</f>
        <v>9</v>
      </c>
      <c r="J630" t="str">
        <f>TEXT(Table1_1[[#This Row],[Order Date]],"[$-en-US]mmm")</f>
        <v>Sep</v>
      </c>
    </row>
    <row r="631" spans="1:10" x14ac:dyDescent="0.3">
      <c r="A631" t="s">
        <v>671</v>
      </c>
      <c r="B631" s="2">
        <v>45436</v>
      </c>
      <c r="C631" t="s">
        <v>1275</v>
      </c>
      <c r="D631" t="s">
        <v>1289</v>
      </c>
      <c r="E631">
        <v>2</v>
      </c>
      <c r="F631" s="3">
        <v>491</v>
      </c>
      <c r="G631" s="3">
        <v>982</v>
      </c>
      <c r="H631" t="s">
        <v>1315</v>
      </c>
      <c r="I631">
        <f>MONTH(Table1_1[[#This Row],[Order Date]])</f>
        <v>5</v>
      </c>
      <c r="J631" t="str">
        <f>TEXT(Table1_1[[#This Row],[Order Date]],"[$-en-US]mmm")</f>
        <v>May</v>
      </c>
    </row>
    <row r="632" spans="1:10" x14ac:dyDescent="0.3">
      <c r="A632" t="s">
        <v>672</v>
      </c>
      <c r="B632" s="2">
        <v>45525</v>
      </c>
      <c r="C632" t="s">
        <v>1280</v>
      </c>
      <c r="D632" t="s">
        <v>1290</v>
      </c>
      <c r="E632">
        <v>2</v>
      </c>
      <c r="F632" s="3">
        <v>581</v>
      </c>
      <c r="G632" s="3">
        <v>1162</v>
      </c>
      <c r="H632" t="s">
        <v>1314</v>
      </c>
      <c r="I632">
        <f>MONTH(Table1_1[[#This Row],[Order Date]])</f>
        <v>8</v>
      </c>
      <c r="J632" t="str">
        <f>TEXT(Table1_1[[#This Row],[Order Date]],"[$-en-US]mmm")</f>
        <v>Aug</v>
      </c>
    </row>
    <row r="633" spans="1:10" x14ac:dyDescent="0.3">
      <c r="A633" t="s">
        <v>673</v>
      </c>
      <c r="B633" s="2">
        <v>45580</v>
      </c>
      <c r="C633" t="s">
        <v>1280</v>
      </c>
      <c r="D633" t="s">
        <v>1290</v>
      </c>
      <c r="E633">
        <v>4</v>
      </c>
      <c r="F633" s="3">
        <v>313</v>
      </c>
      <c r="G633" s="3">
        <v>1252</v>
      </c>
      <c r="H633" t="s">
        <v>1315</v>
      </c>
      <c r="I633">
        <f>MONTH(Table1_1[[#This Row],[Order Date]])</f>
        <v>10</v>
      </c>
      <c r="J633" t="str">
        <f>TEXT(Table1_1[[#This Row],[Order Date]],"[$-en-US]mmm")</f>
        <v>Oct</v>
      </c>
    </row>
    <row r="634" spans="1:10" x14ac:dyDescent="0.3">
      <c r="A634" t="s">
        <v>674</v>
      </c>
      <c r="B634" s="2">
        <v>45594</v>
      </c>
      <c r="C634" t="s">
        <v>1274</v>
      </c>
      <c r="D634" t="s">
        <v>1290</v>
      </c>
      <c r="E634">
        <v>8</v>
      </c>
      <c r="F634" s="3">
        <v>392</v>
      </c>
      <c r="G634" s="3">
        <v>3136</v>
      </c>
      <c r="H634" t="s">
        <v>1316</v>
      </c>
      <c r="I634">
        <f>MONTH(Table1_1[[#This Row],[Order Date]])</f>
        <v>10</v>
      </c>
      <c r="J634" t="str">
        <f>TEXT(Table1_1[[#This Row],[Order Date]],"[$-en-US]mmm")</f>
        <v>Oct</v>
      </c>
    </row>
    <row r="635" spans="1:10" x14ac:dyDescent="0.3">
      <c r="A635" t="s">
        <v>675</v>
      </c>
      <c r="B635" s="2">
        <v>45417</v>
      </c>
      <c r="C635" t="s">
        <v>1274</v>
      </c>
      <c r="D635" t="s">
        <v>1290</v>
      </c>
      <c r="E635">
        <v>9</v>
      </c>
      <c r="F635" s="3">
        <v>793</v>
      </c>
      <c r="G635" s="3">
        <v>7137</v>
      </c>
      <c r="H635" t="s">
        <v>1313</v>
      </c>
      <c r="I635">
        <f>MONTH(Table1_1[[#This Row],[Order Date]])</f>
        <v>5</v>
      </c>
      <c r="J635" t="str">
        <f>TEXT(Table1_1[[#This Row],[Order Date]],"[$-en-US]mmm")</f>
        <v>May</v>
      </c>
    </row>
    <row r="636" spans="1:10" x14ac:dyDescent="0.3">
      <c r="A636" t="s">
        <v>676</v>
      </c>
      <c r="B636" s="2">
        <v>45411</v>
      </c>
      <c r="C636" t="s">
        <v>1276</v>
      </c>
      <c r="D636" t="s">
        <v>1290</v>
      </c>
      <c r="E636">
        <v>7</v>
      </c>
      <c r="F636" s="3">
        <v>39</v>
      </c>
      <c r="G636" s="3">
        <v>273</v>
      </c>
      <c r="H636" t="s">
        <v>1315</v>
      </c>
      <c r="I636">
        <f>MONTH(Table1_1[[#This Row],[Order Date]])</f>
        <v>4</v>
      </c>
      <c r="J636" t="str">
        <f>TEXT(Table1_1[[#This Row],[Order Date]],"[$-en-US]mmm")</f>
        <v>Apr</v>
      </c>
    </row>
    <row r="637" spans="1:10" x14ac:dyDescent="0.3">
      <c r="A637" t="s">
        <v>677</v>
      </c>
      <c r="B637" s="2">
        <v>45628</v>
      </c>
      <c r="C637" t="s">
        <v>1276</v>
      </c>
      <c r="D637" t="s">
        <v>1290</v>
      </c>
      <c r="E637">
        <v>6</v>
      </c>
      <c r="F637" s="3">
        <v>16</v>
      </c>
      <c r="G637" s="3">
        <v>96</v>
      </c>
      <c r="H637" t="s">
        <v>1316</v>
      </c>
      <c r="I637">
        <f>MONTH(Table1_1[[#This Row],[Order Date]])</f>
        <v>12</v>
      </c>
      <c r="J637" t="str">
        <f>TEXT(Table1_1[[#This Row],[Order Date]],"[$-en-US]mmm")</f>
        <v>Dec</v>
      </c>
    </row>
    <row r="638" spans="1:10" x14ac:dyDescent="0.3">
      <c r="A638" t="s">
        <v>678</v>
      </c>
      <c r="B638" s="2">
        <v>45563</v>
      </c>
      <c r="C638" t="s">
        <v>1277</v>
      </c>
      <c r="D638" t="s">
        <v>1289</v>
      </c>
      <c r="E638">
        <v>2</v>
      </c>
      <c r="F638" s="3">
        <v>225</v>
      </c>
      <c r="G638" s="3">
        <v>450</v>
      </c>
      <c r="H638" t="s">
        <v>1313</v>
      </c>
      <c r="I638">
        <f>MONTH(Table1_1[[#This Row],[Order Date]])</f>
        <v>9</v>
      </c>
      <c r="J638" t="str">
        <f>TEXT(Table1_1[[#This Row],[Order Date]],"[$-en-US]mmm")</f>
        <v>Sep</v>
      </c>
    </row>
    <row r="639" spans="1:10" x14ac:dyDescent="0.3">
      <c r="A639" t="s">
        <v>679</v>
      </c>
      <c r="B639" s="2">
        <v>45364</v>
      </c>
      <c r="C639" t="s">
        <v>1275</v>
      </c>
      <c r="D639" t="s">
        <v>1289</v>
      </c>
      <c r="E639">
        <v>8</v>
      </c>
      <c r="F639" s="3">
        <v>76</v>
      </c>
      <c r="G639" s="3">
        <v>608</v>
      </c>
      <c r="H639" t="s">
        <v>1315</v>
      </c>
      <c r="I639">
        <f>MONTH(Table1_1[[#This Row],[Order Date]])</f>
        <v>3</v>
      </c>
      <c r="J639" t="str">
        <f>TEXT(Table1_1[[#This Row],[Order Date]],"[$-en-US]mmm")</f>
        <v>Mar</v>
      </c>
    </row>
    <row r="640" spans="1:10" x14ac:dyDescent="0.3">
      <c r="A640" t="s">
        <v>680</v>
      </c>
      <c r="B640" s="2">
        <v>45558</v>
      </c>
      <c r="C640" t="s">
        <v>1273</v>
      </c>
      <c r="D640" t="s">
        <v>1289</v>
      </c>
      <c r="E640">
        <v>1</v>
      </c>
      <c r="F640" s="3">
        <v>252</v>
      </c>
      <c r="G640" s="3">
        <v>252</v>
      </c>
      <c r="H640" t="s">
        <v>1316</v>
      </c>
      <c r="I640">
        <f>MONTH(Table1_1[[#This Row],[Order Date]])</f>
        <v>9</v>
      </c>
      <c r="J640" t="str">
        <f>TEXT(Table1_1[[#This Row],[Order Date]],"[$-en-US]mmm")</f>
        <v>Sep</v>
      </c>
    </row>
    <row r="641" spans="1:10" x14ac:dyDescent="0.3">
      <c r="A641" t="s">
        <v>681</v>
      </c>
      <c r="B641" s="2">
        <v>45335</v>
      </c>
      <c r="C641" t="s">
        <v>1280</v>
      </c>
      <c r="D641" t="s">
        <v>1290</v>
      </c>
      <c r="E641">
        <v>8</v>
      </c>
      <c r="F641" s="3">
        <v>780</v>
      </c>
      <c r="G641" s="3">
        <v>6240</v>
      </c>
      <c r="H641" t="s">
        <v>1314</v>
      </c>
      <c r="I641">
        <f>MONTH(Table1_1[[#This Row],[Order Date]])</f>
        <v>2</v>
      </c>
      <c r="J641" t="str">
        <f>TEXT(Table1_1[[#This Row],[Order Date]],"[$-en-US]mmm")</f>
        <v>Feb</v>
      </c>
    </row>
    <row r="642" spans="1:10" x14ac:dyDescent="0.3">
      <c r="A642" t="s">
        <v>682</v>
      </c>
      <c r="B642" s="2">
        <v>45595</v>
      </c>
      <c r="C642" t="s">
        <v>1279</v>
      </c>
      <c r="D642" t="s">
        <v>1289</v>
      </c>
      <c r="E642">
        <v>7</v>
      </c>
      <c r="F642" s="3">
        <v>91</v>
      </c>
      <c r="G642" s="3">
        <v>637</v>
      </c>
      <c r="H642" t="s">
        <v>1314</v>
      </c>
      <c r="I642">
        <f>MONTH(Table1_1[[#This Row],[Order Date]])</f>
        <v>10</v>
      </c>
      <c r="J642" t="str">
        <f>TEXT(Table1_1[[#This Row],[Order Date]],"[$-en-US]mmm")</f>
        <v>Oct</v>
      </c>
    </row>
    <row r="643" spans="1:10" x14ac:dyDescent="0.3">
      <c r="A643" t="s">
        <v>683</v>
      </c>
      <c r="B643" s="2">
        <v>45441</v>
      </c>
      <c r="C643" t="s">
        <v>1275</v>
      </c>
      <c r="D643" t="s">
        <v>1289</v>
      </c>
      <c r="E643">
        <v>3</v>
      </c>
      <c r="F643" s="3">
        <v>257</v>
      </c>
      <c r="G643" s="3">
        <v>771</v>
      </c>
      <c r="H643" t="s">
        <v>1315</v>
      </c>
      <c r="I643">
        <f>MONTH(Table1_1[[#This Row],[Order Date]])</f>
        <v>5</v>
      </c>
      <c r="J643" t="str">
        <f>TEXT(Table1_1[[#This Row],[Order Date]],"[$-en-US]mmm")</f>
        <v>May</v>
      </c>
    </row>
    <row r="644" spans="1:10" x14ac:dyDescent="0.3">
      <c r="A644" t="s">
        <v>684</v>
      </c>
      <c r="B644" s="2">
        <v>45459</v>
      </c>
      <c r="C644" t="s">
        <v>1280</v>
      </c>
      <c r="D644" t="s">
        <v>1290</v>
      </c>
      <c r="E644">
        <v>7</v>
      </c>
      <c r="F644" s="3">
        <v>732</v>
      </c>
      <c r="G644" s="3">
        <v>5124</v>
      </c>
      <c r="H644" t="s">
        <v>1315</v>
      </c>
      <c r="I644">
        <f>MONTH(Table1_1[[#This Row],[Order Date]])</f>
        <v>6</v>
      </c>
      <c r="J644" t="str">
        <f>TEXT(Table1_1[[#This Row],[Order Date]],"[$-en-US]mmm")</f>
        <v>Jun</v>
      </c>
    </row>
    <row r="645" spans="1:10" x14ac:dyDescent="0.3">
      <c r="A645" t="s">
        <v>685</v>
      </c>
      <c r="B645" s="2">
        <v>45330</v>
      </c>
      <c r="C645" t="s">
        <v>1282</v>
      </c>
      <c r="D645" t="s">
        <v>1290</v>
      </c>
      <c r="E645">
        <v>5</v>
      </c>
      <c r="F645" s="3">
        <v>254</v>
      </c>
      <c r="G645" s="3">
        <v>1270</v>
      </c>
      <c r="H645" t="s">
        <v>1313</v>
      </c>
      <c r="I645">
        <f>MONTH(Table1_1[[#This Row],[Order Date]])</f>
        <v>2</v>
      </c>
      <c r="J645" t="str">
        <f>TEXT(Table1_1[[#This Row],[Order Date]],"[$-en-US]mmm")</f>
        <v>Feb</v>
      </c>
    </row>
    <row r="646" spans="1:10" x14ac:dyDescent="0.3">
      <c r="A646" t="s">
        <v>686</v>
      </c>
      <c r="B646" s="2">
        <v>45371</v>
      </c>
      <c r="C646" t="s">
        <v>1279</v>
      </c>
      <c r="D646" t="s">
        <v>1289</v>
      </c>
      <c r="E646">
        <v>10</v>
      </c>
      <c r="F646" s="3">
        <v>126</v>
      </c>
      <c r="G646" s="3">
        <v>1260</v>
      </c>
      <c r="H646" t="s">
        <v>1314</v>
      </c>
      <c r="I646">
        <f>MONTH(Table1_1[[#This Row],[Order Date]])</f>
        <v>3</v>
      </c>
      <c r="J646" t="str">
        <f>TEXT(Table1_1[[#This Row],[Order Date]],"[$-en-US]mmm")</f>
        <v>Mar</v>
      </c>
    </row>
    <row r="647" spans="1:10" x14ac:dyDescent="0.3">
      <c r="A647" t="s">
        <v>687</v>
      </c>
      <c r="B647" s="2">
        <v>45452</v>
      </c>
      <c r="C647" t="s">
        <v>1279</v>
      </c>
      <c r="D647" t="s">
        <v>1289</v>
      </c>
      <c r="E647">
        <v>8</v>
      </c>
      <c r="F647" s="3">
        <v>492</v>
      </c>
      <c r="G647" s="3">
        <v>3936</v>
      </c>
      <c r="H647" t="s">
        <v>1316</v>
      </c>
      <c r="I647">
        <f>MONTH(Table1_1[[#This Row],[Order Date]])</f>
        <v>6</v>
      </c>
      <c r="J647" t="str">
        <f>TEXT(Table1_1[[#This Row],[Order Date]],"[$-en-US]mmm")</f>
        <v>Jun</v>
      </c>
    </row>
    <row r="648" spans="1:10" x14ac:dyDescent="0.3">
      <c r="A648" t="s">
        <v>688</v>
      </c>
      <c r="B648" s="2">
        <v>45398</v>
      </c>
      <c r="C648" t="s">
        <v>1273</v>
      </c>
      <c r="D648" t="s">
        <v>1289</v>
      </c>
      <c r="E648">
        <v>9</v>
      </c>
      <c r="F648" s="3">
        <v>381</v>
      </c>
      <c r="G648" s="3">
        <v>3429</v>
      </c>
      <c r="H648" t="s">
        <v>1316</v>
      </c>
      <c r="I648">
        <f>MONTH(Table1_1[[#This Row],[Order Date]])</f>
        <v>4</v>
      </c>
      <c r="J648" t="str">
        <f>TEXT(Table1_1[[#This Row],[Order Date]],"[$-en-US]mmm")</f>
        <v>Apr</v>
      </c>
    </row>
    <row r="649" spans="1:10" x14ac:dyDescent="0.3">
      <c r="A649" t="s">
        <v>689</v>
      </c>
      <c r="B649" s="2">
        <v>45353</v>
      </c>
      <c r="C649" t="s">
        <v>1277</v>
      </c>
      <c r="D649" t="s">
        <v>1289</v>
      </c>
      <c r="E649">
        <v>8</v>
      </c>
      <c r="F649" s="3">
        <v>286</v>
      </c>
      <c r="G649" s="3">
        <v>2288</v>
      </c>
      <c r="H649" t="s">
        <v>1314</v>
      </c>
      <c r="I649">
        <f>MONTH(Table1_1[[#This Row],[Order Date]])</f>
        <v>3</v>
      </c>
      <c r="J649" t="str">
        <f>TEXT(Table1_1[[#This Row],[Order Date]],"[$-en-US]mmm")</f>
        <v>Mar</v>
      </c>
    </row>
    <row r="650" spans="1:10" x14ac:dyDescent="0.3">
      <c r="A650" t="s">
        <v>690</v>
      </c>
      <c r="B650" s="2">
        <v>45652</v>
      </c>
      <c r="C650" t="s">
        <v>1279</v>
      </c>
      <c r="D650" t="s">
        <v>1289</v>
      </c>
      <c r="E650">
        <v>5</v>
      </c>
      <c r="F650" s="3">
        <v>861</v>
      </c>
      <c r="G650" s="3">
        <v>4305</v>
      </c>
      <c r="H650" t="s">
        <v>1314</v>
      </c>
      <c r="I650">
        <f>MONTH(Table1_1[[#This Row],[Order Date]])</f>
        <v>12</v>
      </c>
      <c r="J650" t="str">
        <f>TEXT(Table1_1[[#This Row],[Order Date]],"[$-en-US]mmm")</f>
        <v>Dec</v>
      </c>
    </row>
    <row r="651" spans="1:10" x14ac:dyDescent="0.3">
      <c r="A651" t="s">
        <v>691</v>
      </c>
      <c r="B651" s="2">
        <v>45338</v>
      </c>
      <c r="C651" t="s">
        <v>1274</v>
      </c>
      <c r="D651" t="s">
        <v>1290</v>
      </c>
      <c r="E651">
        <v>6</v>
      </c>
      <c r="F651" s="3">
        <v>166</v>
      </c>
      <c r="G651" s="3">
        <v>996</v>
      </c>
      <c r="H651" t="s">
        <v>1313</v>
      </c>
      <c r="I651">
        <f>MONTH(Table1_1[[#This Row],[Order Date]])</f>
        <v>2</v>
      </c>
      <c r="J651" t="str">
        <f>TEXT(Table1_1[[#This Row],[Order Date]],"[$-en-US]mmm")</f>
        <v>Feb</v>
      </c>
    </row>
    <row r="652" spans="1:10" x14ac:dyDescent="0.3">
      <c r="A652" t="s">
        <v>692</v>
      </c>
      <c r="B652" s="2">
        <v>45317</v>
      </c>
      <c r="C652" t="s">
        <v>1280</v>
      </c>
      <c r="D652" t="s">
        <v>1290</v>
      </c>
      <c r="E652">
        <v>7</v>
      </c>
      <c r="F652" s="3">
        <v>540</v>
      </c>
      <c r="G652" s="3">
        <v>3780</v>
      </c>
      <c r="H652" t="s">
        <v>1315</v>
      </c>
      <c r="I652">
        <f>MONTH(Table1_1[[#This Row],[Order Date]])</f>
        <v>1</v>
      </c>
      <c r="J652" t="str">
        <f>TEXT(Table1_1[[#This Row],[Order Date]],"[$-en-US]mmm")</f>
        <v>Jan</v>
      </c>
    </row>
    <row r="653" spans="1:10" x14ac:dyDescent="0.3">
      <c r="A653" t="s">
        <v>693</v>
      </c>
      <c r="B653" s="2">
        <v>45499</v>
      </c>
      <c r="C653" t="s">
        <v>1277</v>
      </c>
      <c r="D653" t="s">
        <v>1289</v>
      </c>
      <c r="E653">
        <v>3</v>
      </c>
      <c r="F653" s="3">
        <v>46</v>
      </c>
      <c r="G653" s="3">
        <v>138</v>
      </c>
      <c r="H653" t="s">
        <v>1316</v>
      </c>
      <c r="I653">
        <f>MONTH(Table1_1[[#This Row],[Order Date]])</f>
        <v>7</v>
      </c>
      <c r="J653" t="str">
        <f>TEXT(Table1_1[[#This Row],[Order Date]],"[$-en-US]mmm")</f>
        <v>Jul</v>
      </c>
    </row>
    <row r="654" spans="1:10" x14ac:dyDescent="0.3">
      <c r="A654" t="s">
        <v>694</v>
      </c>
      <c r="B654" s="2">
        <v>45344</v>
      </c>
      <c r="C654" t="s">
        <v>1274</v>
      </c>
      <c r="D654" t="s">
        <v>1290</v>
      </c>
      <c r="E654">
        <v>2</v>
      </c>
      <c r="F654" s="3">
        <v>488</v>
      </c>
      <c r="G654" s="3">
        <v>976</v>
      </c>
      <c r="H654" t="s">
        <v>1313</v>
      </c>
      <c r="I654">
        <f>MONTH(Table1_1[[#This Row],[Order Date]])</f>
        <v>2</v>
      </c>
      <c r="J654" t="str">
        <f>TEXT(Table1_1[[#This Row],[Order Date]],"[$-en-US]mmm")</f>
        <v>Feb</v>
      </c>
    </row>
    <row r="655" spans="1:10" x14ac:dyDescent="0.3">
      <c r="A655" t="s">
        <v>696</v>
      </c>
      <c r="B655" s="2">
        <v>45643</v>
      </c>
      <c r="C655" t="s">
        <v>1274</v>
      </c>
      <c r="D655" t="s">
        <v>1290</v>
      </c>
      <c r="E655">
        <v>7</v>
      </c>
      <c r="F655" s="3">
        <v>396</v>
      </c>
      <c r="G655" s="3">
        <v>2772</v>
      </c>
      <c r="H655" t="s">
        <v>1314</v>
      </c>
      <c r="I655">
        <f>MONTH(Table1_1[[#This Row],[Order Date]])</f>
        <v>12</v>
      </c>
      <c r="J655" t="str">
        <f>TEXT(Table1_1[[#This Row],[Order Date]],"[$-en-US]mmm")</f>
        <v>Dec</v>
      </c>
    </row>
    <row r="656" spans="1:10" x14ac:dyDescent="0.3">
      <c r="A656" t="s">
        <v>697</v>
      </c>
      <c r="B656" s="2">
        <v>45325</v>
      </c>
      <c r="C656" t="s">
        <v>1277</v>
      </c>
      <c r="D656" t="s">
        <v>1289</v>
      </c>
      <c r="E656">
        <v>2</v>
      </c>
      <c r="F656" s="3">
        <v>37</v>
      </c>
      <c r="G656" s="3">
        <v>74</v>
      </c>
      <c r="H656" t="s">
        <v>1313</v>
      </c>
      <c r="I656">
        <f>MONTH(Table1_1[[#This Row],[Order Date]])</f>
        <v>2</v>
      </c>
      <c r="J656" t="str">
        <f>TEXT(Table1_1[[#This Row],[Order Date]],"[$-en-US]mmm")</f>
        <v>Feb</v>
      </c>
    </row>
    <row r="657" spans="1:10" x14ac:dyDescent="0.3">
      <c r="A657" t="s">
        <v>698</v>
      </c>
      <c r="B657" s="2">
        <v>45461</v>
      </c>
      <c r="C657" t="s">
        <v>1282</v>
      </c>
      <c r="D657" t="s">
        <v>1290</v>
      </c>
      <c r="E657">
        <v>3</v>
      </c>
      <c r="F657" s="3">
        <v>109</v>
      </c>
      <c r="G657" s="3">
        <v>327</v>
      </c>
      <c r="H657" t="s">
        <v>1314</v>
      </c>
      <c r="I657">
        <f>MONTH(Table1_1[[#This Row],[Order Date]])</f>
        <v>6</v>
      </c>
      <c r="J657" t="str">
        <f>TEXT(Table1_1[[#This Row],[Order Date]],"[$-en-US]mmm")</f>
        <v>Jun</v>
      </c>
    </row>
    <row r="658" spans="1:10" x14ac:dyDescent="0.3">
      <c r="A658" t="s">
        <v>699</v>
      </c>
      <c r="B658" s="2">
        <v>45378</v>
      </c>
      <c r="C658" t="s">
        <v>1276</v>
      </c>
      <c r="D658" t="s">
        <v>1290</v>
      </c>
      <c r="E658">
        <v>8</v>
      </c>
      <c r="F658" s="3">
        <v>66</v>
      </c>
      <c r="G658" s="3">
        <v>528</v>
      </c>
      <c r="H658" t="s">
        <v>1316</v>
      </c>
      <c r="I658">
        <f>MONTH(Table1_1[[#This Row],[Order Date]])</f>
        <v>3</v>
      </c>
      <c r="J658" t="str">
        <f>TEXT(Table1_1[[#This Row],[Order Date]],"[$-en-US]mmm")</f>
        <v>Mar</v>
      </c>
    </row>
    <row r="659" spans="1:10" x14ac:dyDescent="0.3">
      <c r="A659" t="s">
        <v>700</v>
      </c>
      <c r="B659" s="2">
        <v>45487</v>
      </c>
      <c r="C659" t="s">
        <v>1275</v>
      </c>
      <c r="D659" t="s">
        <v>1289</v>
      </c>
      <c r="E659">
        <v>8</v>
      </c>
      <c r="F659" s="3">
        <v>45</v>
      </c>
      <c r="G659" s="3">
        <v>360</v>
      </c>
      <c r="H659" t="s">
        <v>1316</v>
      </c>
      <c r="I659">
        <f>MONTH(Table1_1[[#This Row],[Order Date]])</f>
        <v>7</v>
      </c>
      <c r="J659" t="str">
        <f>TEXT(Table1_1[[#This Row],[Order Date]],"[$-en-US]mmm")</f>
        <v>Jul</v>
      </c>
    </row>
    <row r="660" spans="1:10" x14ac:dyDescent="0.3">
      <c r="A660" t="s">
        <v>701</v>
      </c>
      <c r="B660" s="2">
        <v>45387</v>
      </c>
      <c r="C660" t="s">
        <v>1279</v>
      </c>
      <c r="D660" t="s">
        <v>1289</v>
      </c>
      <c r="E660">
        <v>6</v>
      </c>
      <c r="F660" s="3">
        <v>234</v>
      </c>
      <c r="G660" s="3">
        <v>1404</v>
      </c>
      <c r="H660" t="s">
        <v>1315</v>
      </c>
      <c r="I660">
        <f>MONTH(Table1_1[[#This Row],[Order Date]])</f>
        <v>4</v>
      </c>
      <c r="J660" t="str">
        <f>TEXT(Table1_1[[#This Row],[Order Date]],"[$-en-US]mmm")</f>
        <v>Apr</v>
      </c>
    </row>
    <row r="661" spans="1:10" x14ac:dyDescent="0.3">
      <c r="A661" t="s">
        <v>702</v>
      </c>
      <c r="B661" s="2">
        <v>45309</v>
      </c>
      <c r="C661" t="s">
        <v>1277</v>
      </c>
      <c r="D661" t="s">
        <v>1289</v>
      </c>
      <c r="E661">
        <v>8</v>
      </c>
      <c r="F661" s="3">
        <v>167</v>
      </c>
      <c r="G661" s="3">
        <v>1336</v>
      </c>
      <c r="H661" t="s">
        <v>1313</v>
      </c>
      <c r="I661">
        <f>MONTH(Table1_1[[#This Row],[Order Date]])</f>
        <v>1</v>
      </c>
      <c r="J661" t="str">
        <f>TEXT(Table1_1[[#This Row],[Order Date]],"[$-en-US]mmm")</f>
        <v>Jan</v>
      </c>
    </row>
    <row r="662" spans="1:10" x14ac:dyDescent="0.3">
      <c r="A662" t="s">
        <v>703</v>
      </c>
      <c r="B662" s="2">
        <v>45573</v>
      </c>
      <c r="C662" t="s">
        <v>1277</v>
      </c>
      <c r="D662" t="s">
        <v>1289</v>
      </c>
      <c r="E662">
        <v>8</v>
      </c>
      <c r="F662" s="3">
        <v>436</v>
      </c>
      <c r="G662" s="3">
        <v>3488</v>
      </c>
      <c r="H662" t="s">
        <v>1316</v>
      </c>
      <c r="I662">
        <f>MONTH(Table1_1[[#This Row],[Order Date]])</f>
        <v>10</v>
      </c>
      <c r="J662" t="str">
        <f>TEXT(Table1_1[[#This Row],[Order Date]],"[$-en-US]mmm")</f>
        <v>Oct</v>
      </c>
    </row>
    <row r="663" spans="1:10" x14ac:dyDescent="0.3">
      <c r="A663" t="s">
        <v>704</v>
      </c>
      <c r="B663" s="2">
        <v>45488</v>
      </c>
      <c r="C663" t="s">
        <v>1276</v>
      </c>
      <c r="D663" t="s">
        <v>1290</v>
      </c>
      <c r="E663">
        <v>2</v>
      </c>
      <c r="F663" s="3">
        <v>301</v>
      </c>
      <c r="G663" s="3">
        <v>602</v>
      </c>
      <c r="H663" t="s">
        <v>1313</v>
      </c>
      <c r="I663">
        <f>MONTH(Table1_1[[#This Row],[Order Date]])</f>
        <v>7</v>
      </c>
      <c r="J663" t="str">
        <f>TEXT(Table1_1[[#This Row],[Order Date]],"[$-en-US]mmm")</f>
        <v>Jul</v>
      </c>
    </row>
    <row r="664" spans="1:10" x14ac:dyDescent="0.3">
      <c r="A664" t="s">
        <v>705</v>
      </c>
      <c r="B664" s="2">
        <v>45561</v>
      </c>
      <c r="C664" t="s">
        <v>1275</v>
      </c>
      <c r="D664" t="s">
        <v>1289</v>
      </c>
      <c r="E664">
        <v>4</v>
      </c>
      <c r="F664" s="3">
        <v>673</v>
      </c>
      <c r="G664" s="3">
        <v>2692</v>
      </c>
      <c r="H664" t="s">
        <v>1313</v>
      </c>
      <c r="I664">
        <f>MONTH(Table1_1[[#This Row],[Order Date]])</f>
        <v>9</v>
      </c>
      <c r="J664" t="str">
        <f>TEXT(Table1_1[[#This Row],[Order Date]],"[$-en-US]mmm")</f>
        <v>Sep</v>
      </c>
    </row>
    <row r="665" spans="1:10" x14ac:dyDescent="0.3">
      <c r="A665" t="s">
        <v>706</v>
      </c>
      <c r="B665" s="2">
        <v>45475</v>
      </c>
      <c r="C665" t="s">
        <v>1276</v>
      </c>
      <c r="D665" t="s">
        <v>1290</v>
      </c>
      <c r="E665">
        <v>7</v>
      </c>
      <c r="F665" s="3">
        <v>815</v>
      </c>
      <c r="G665" s="3">
        <v>5705</v>
      </c>
      <c r="H665" t="s">
        <v>1316</v>
      </c>
      <c r="I665">
        <f>MONTH(Table1_1[[#This Row],[Order Date]])</f>
        <v>7</v>
      </c>
      <c r="J665" t="str">
        <f>TEXT(Table1_1[[#This Row],[Order Date]],"[$-en-US]mmm")</f>
        <v>Jul</v>
      </c>
    </row>
    <row r="666" spans="1:10" x14ac:dyDescent="0.3">
      <c r="A666" t="s">
        <v>707</v>
      </c>
      <c r="B666" s="2">
        <v>45549</v>
      </c>
      <c r="C666" t="s">
        <v>1282</v>
      </c>
      <c r="D666" t="s">
        <v>1290</v>
      </c>
      <c r="E666">
        <v>6</v>
      </c>
      <c r="F666" s="3">
        <v>594</v>
      </c>
      <c r="G666" s="3">
        <v>3564</v>
      </c>
      <c r="H666" t="s">
        <v>1315</v>
      </c>
      <c r="I666">
        <f>MONTH(Table1_1[[#This Row],[Order Date]])</f>
        <v>9</v>
      </c>
      <c r="J666" t="str">
        <f>TEXT(Table1_1[[#This Row],[Order Date]],"[$-en-US]mmm")</f>
        <v>Sep</v>
      </c>
    </row>
    <row r="667" spans="1:10" x14ac:dyDescent="0.3">
      <c r="A667" t="s">
        <v>708</v>
      </c>
      <c r="B667" s="2">
        <v>45305</v>
      </c>
      <c r="C667" t="s">
        <v>1275</v>
      </c>
      <c r="D667" t="s">
        <v>1289</v>
      </c>
      <c r="E667">
        <v>5</v>
      </c>
      <c r="F667" s="3">
        <v>199</v>
      </c>
      <c r="G667" s="3">
        <v>995</v>
      </c>
      <c r="H667" t="s">
        <v>1315</v>
      </c>
      <c r="I667">
        <f>MONTH(Table1_1[[#This Row],[Order Date]])</f>
        <v>1</v>
      </c>
      <c r="J667" t="str">
        <f>TEXT(Table1_1[[#This Row],[Order Date]],"[$-en-US]mmm")</f>
        <v>Jan</v>
      </c>
    </row>
    <row r="668" spans="1:10" x14ac:dyDescent="0.3">
      <c r="A668" t="s">
        <v>709</v>
      </c>
      <c r="B668" s="2">
        <v>45435</v>
      </c>
      <c r="C668" t="s">
        <v>1274</v>
      </c>
      <c r="D668" t="s">
        <v>1290</v>
      </c>
      <c r="E668">
        <v>1</v>
      </c>
      <c r="F668" s="3">
        <v>845</v>
      </c>
      <c r="G668" s="3">
        <v>845</v>
      </c>
      <c r="H668" t="s">
        <v>1314</v>
      </c>
      <c r="I668">
        <f>MONTH(Table1_1[[#This Row],[Order Date]])</f>
        <v>5</v>
      </c>
      <c r="J668" t="str">
        <f>TEXT(Table1_1[[#This Row],[Order Date]],"[$-en-US]mmm")</f>
        <v>May</v>
      </c>
    </row>
    <row r="669" spans="1:10" x14ac:dyDescent="0.3">
      <c r="A669" t="s">
        <v>710</v>
      </c>
      <c r="B669" s="2">
        <v>45591</v>
      </c>
      <c r="C669" t="s">
        <v>1282</v>
      </c>
      <c r="D669" t="s">
        <v>1290</v>
      </c>
      <c r="E669">
        <v>9</v>
      </c>
      <c r="F669" s="3">
        <v>381</v>
      </c>
      <c r="G669" s="3">
        <v>3429</v>
      </c>
      <c r="H669" t="s">
        <v>1313</v>
      </c>
      <c r="I669">
        <f>MONTH(Table1_1[[#This Row],[Order Date]])</f>
        <v>10</v>
      </c>
      <c r="J669" t="str">
        <f>TEXT(Table1_1[[#This Row],[Order Date]],"[$-en-US]mmm")</f>
        <v>Oct</v>
      </c>
    </row>
    <row r="670" spans="1:10" x14ac:dyDescent="0.3">
      <c r="A670" t="s">
        <v>711</v>
      </c>
      <c r="B670" s="2">
        <v>45628</v>
      </c>
      <c r="C670" t="s">
        <v>1279</v>
      </c>
      <c r="D670" t="s">
        <v>1289</v>
      </c>
      <c r="E670">
        <v>2</v>
      </c>
      <c r="F670" s="3">
        <v>268</v>
      </c>
      <c r="G670" s="3">
        <v>536</v>
      </c>
      <c r="H670" t="s">
        <v>1313</v>
      </c>
      <c r="I670">
        <f>MONTH(Table1_1[[#This Row],[Order Date]])</f>
        <v>12</v>
      </c>
      <c r="J670" t="str">
        <f>TEXT(Table1_1[[#This Row],[Order Date]],"[$-en-US]mmm")</f>
        <v>Dec</v>
      </c>
    </row>
    <row r="671" spans="1:10" x14ac:dyDescent="0.3">
      <c r="A671" t="s">
        <v>712</v>
      </c>
      <c r="B671" s="2">
        <v>45320</v>
      </c>
      <c r="C671" t="s">
        <v>1277</v>
      </c>
      <c r="D671" t="s">
        <v>1289</v>
      </c>
      <c r="E671">
        <v>9</v>
      </c>
      <c r="F671" s="3">
        <v>850</v>
      </c>
      <c r="G671" s="3">
        <v>7650</v>
      </c>
      <c r="H671" t="s">
        <v>1313</v>
      </c>
      <c r="I671">
        <f>MONTH(Table1_1[[#This Row],[Order Date]])</f>
        <v>1</v>
      </c>
      <c r="J671" t="str">
        <f>TEXT(Table1_1[[#This Row],[Order Date]],"[$-en-US]mmm")</f>
        <v>Jan</v>
      </c>
    </row>
    <row r="672" spans="1:10" x14ac:dyDescent="0.3">
      <c r="A672" t="s">
        <v>713</v>
      </c>
      <c r="B672" s="2">
        <v>45380</v>
      </c>
      <c r="C672" t="s">
        <v>1275</v>
      </c>
      <c r="D672" t="s">
        <v>1289</v>
      </c>
      <c r="E672">
        <v>6</v>
      </c>
      <c r="F672" s="3">
        <v>874</v>
      </c>
      <c r="G672" s="3">
        <v>5244</v>
      </c>
      <c r="H672" t="s">
        <v>1313</v>
      </c>
      <c r="I672">
        <f>MONTH(Table1_1[[#This Row],[Order Date]])</f>
        <v>3</v>
      </c>
      <c r="J672" t="str">
        <f>TEXT(Table1_1[[#This Row],[Order Date]],"[$-en-US]mmm")</f>
        <v>Mar</v>
      </c>
    </row>
    <row r="673" spans="1:10" x14ac:dyDescent="0.3">
      <c r="A673" t="s">
        <v>714</v>
      </c>
      <c r="B673" s="2">
        <v>45649</v>
      </c>
      <c r="C673" t="s">
        <v>1274</v>
      </c>
      <c r="D673" t="s">
        <v>1290</v>
      </c>
      <c r="E673">
        <v>10</v>
      </c>
      <c r="F673" s="3">
        <v>340</v>
      </c>
      <c r="G673" s="3">
        <v>3400</v>
      </c>
      <c r="H673" t="s">
        <v>1315</v>
      </c>
      <c r="I673">
        <f>MONTH(Table1_1[[#This Row],[Order Date]])</f>
        <v>12</v>
      </c>
      <c r="J673" t="str">
        <f>TEXT(Table1_1[[#This Row],[Order Date]],"[$-en-US]mmm")</f>
        <v>Dec</v>
      </c>
    </row>
    <row r="674" spans="1:10" x14ac:dyDescent="0.3">
      <c r="A674" t="s">
        <v>715</v>
      </c>
      <c r="B674" s="2">
        <v>45580</v>
      </c>
      <c r="C674" t="s">
        <v>1276</v>
      </c>
      <c r="D674" t="s">
        <v>1290</v>
      </c>
      <c r="E674">
        <v>6</v>
      </c>
      <c r="F674" s="3">
        <v>596</v>
      </c>
      <c r="G674" s="3">
        <v>3576</v>
      </c>
      <c r="H674" t="s">
        <v>1313</v>
      </c>
      <c r="I674">
        <f>MONTH(Table1_1[[#This Row],[Order Date]])</f>
        <v>10</v>
      </c>
      <c r="J674" t="str">
        <f>TEXT(Table1_1[[#This Row],[Order Date]],"[$-en-US]mmm")</f>
        <v>Oct</v>
      </c>
    </row>
    <row r="675" spans="1:10" x14ac:dyDescent="0.3">
      <c r="A675" t="s">
        <v>716</v>
      </c>
      <c r="B675" s="2">
        <v>45450</v>
      </c>
      <c r="C675" t="s">
        <v>1274</v>
      </c>
      <c r="D675" t="s">
        <v>1290</v>
      </c>
      <c r="E675">
        <v>8</v>
      </c>
      <c r="F675" s="3">
        <v>570</v>
      </c>
      <c r="G675" s="3">
        <v>4560</v>
      </c>
      <c r="H675" t="s">
        <v>1313</v>
      </c>
      <c r="I675">
        <f>MONTH(Table1_1[[#This Row],[Order Date]])</f>
        <v>6</v>
      </c>
      <c r="J675" t="str">
        <f>TEXT(Table1_1[[#This Row],[Order Date]],"[$-en-US]mmm")</f>
        <v>Jun</v>
      </c>
    </row>
    <row r="676" spans="1:10" x14ac:dyDescent="0.3">
      <c r="A676" t="s">
        <v>717</v>
      </c>
      <c r="B676" s="2">
        <v>45320</v>
      </c>
      <c r="C676" t="s">
        <v>1282</v>
      </c>
      <c r="D676" t="s">
        <v>1290</v>
      </c>
      <c r="E676">
        <v>1</v>
      </c>
      <c r="F676" s="3">
        <v>107</v>
      </c>
      <c r="G676" s="3">
        <v>107</v>
      </c>
      <c r="H676" t="s">
        <v>1313</v>
      </c>
      <c r="I676">
        <f>MONTH(Table1_1[[#This Row],[Order Date]])</f>
        <v>1</v>
      </c>
      <c r="J676" t="str">
        <f>TEXT(Table1_1[[#This Row],[Order Date]],"[$-en-US]mmm")</f>
        <v>Jan</v>
      </c>
    </row>
    <row r="677" spans="1:10" x14ac:dyDescent="0.3">
      <c r="A677" t="s">
        <v>718</v>
      </c>
      <c r="B677" s="2">
        <v>45536</v>
      </c>
      <c r="C677" t="s">
        <v>1274</v>
      </c>
      <c r="D677" t="s">
        <v>1290</v>
      </c>
      <c r="E677">
        <v>1</v>
      </c>
      <c r="F677" s="3">
        <v>554</v>
      </c>
      <c r="G677" s="3">
        <v>554</v>
      </c>
      <c r="H677" t="s">
        <v>1314</v>
      </c>
      <c r="I677">
        <f>MONTH(Table1_1[[#This Row],[Order Date]])</f>
        <v>9</v>
      </c>
      <c r="J677" t="str">
        <f>TEXT(Table1_1[[#This Row],[Order Date]],"[$-en-US]mmm")</f>
        <v>Sep</v>
      </c>
    </row>
    <row r="678" spans="1:10" x14ac:dyDescent="0.3">
      <c r="A678" t="s">
        <v>719</v>
      </c>
      <c r="B678" s="2">
        <v>45358</v>
      </c>
      <c r="C678" t="s">
        <v>1280</v>
      </c>
      <c r="D678" t="s">
        <v>1290</v>
      </c>
      <c r="E678">
        <v>10</v>
      </c>
      <c r="F678" s="3">
        <v>221</v>
      </c>
      <c r="G678" s="3">
        <v>2210</v>
      </c>
      <c r="H678" t="s">
        <v>1315</v>
      </c>
      <c r="I678">
        <f>MONTH(Table1_1[[#This Row],[Order Date]])</f>
        <v>3</v>
      </c>
      <c r="J678" t="str">
        <f>TEXT(Table1_1[[#This Row],[Order Date]],"[$-en-US]mmm")</f>
        <v>Mar</v>
      </c>
    </row>
    <row r="679" spans="1:10" x14ac:dyDescent="0.3">
      <c r="A679" t="s">
        <v>720</v>
      </c>
      <c r="B679" s="2">
        <v>45303</v>
      </c>
      <c r="C679" t="s">
        <v>1279</v>
      </c>
      <c r="D679" t="s">
        <v>1289</v>
      </c>
      <c r="E679">
        <v>6</v>
      </c>
      <c r="F679" s="3">
        <v>75</v>
      </c>
      <c r="G679" s="3">
        <v>450</v>
      </c>
      <c r="H679" t="s">
        <v>1313</v>
      </c>
      <c r="I679">
        <f>MONTH(Table1_1[[#This Row],[Order Date]])</f>
        <v>1</v>
      </c>
      <c r="J679" t="str">
        <f>TEXT(Table1_1[[#This Row],[Order Date]],"[$-en-US]mmm")</f>
        <v>Jan</v>
      </c>
    </row>
    <row r="680" spans="1:10" x14ac:dyDescent="0.3">
      <c r="A680" t="s">
        <v>721</v>
      </c>
      <c r="B680" s="2">
        <v>45561</v>
      </c>
      <c r="C680" t="s">
        <v>1279</v>
      </c>
      <c r="D680" t="s">
        <v>1289</v>
      </c>
      <c r="E680">
        <v>2</v>
      </c>
      <c r="F680" s="3">
        <v>881</v>
      </c>
      <c r="G680" s="3">
        <v>1762</v>
      </c>
      <c r="H680" t="s">
        <v>1315</v>
      </c>
      <c r="I680">
        <f>MONTH(Table1_1[[#This Row],[Order Date]])</f>
        <v>9</v>
      </c>
      <c r="J680" t="str">
        <f>TEXT(Table1_1[[#This Row],[Order Date]],"[$-en-US]mmm")</f>
        <v>Sep</v>
      </c>
    </row>
    <row r="681" spans="1:10" x14ac:dyDescent="0.3">
      <c r="A681" t="s">
        <v>722</v>
      </c>
      <c r="B681" s="2">
        <v>45631</v>
      </c>
      <c r="C681" t="s">
        <v>1273</v>
      </c>
      <c r="D681" t="s">
        <v>1289</v>
      </c>
      <c r="E681">
        <v>6</v>
      </c>
      <c r="F681" s="3">
        <v>736</v>
      </c>
      <c r="G681" s="3">
        <v>4416</v>
      </c>
      <c r="H681" t="s">
        <v>1316</v>
      </c>
      <c r="I681">
        <f>MONTH(Table1_1[[#This Row],[Order Date]])</f>
        <v>12</v>
      </c>
      <c r="J681" t="str">
        <f>TEXT(Table1_1[[#This Row],[Order Date]],"[$-en-US]mmm")</f>
        <v>Dec</v>
      </c>
    </row>
    <row r="682" spans="1:10" x14ac:dyDescent="0.3">
      <c r="A682" t="s">
        <v>723</v>
      </c>
      <c r="B682" s="2">
        <v>45457</v>
      </c>
      <c r="C682" t="s">
        <v>1273</v>
      </c>
      <c r="D682" t="s">
        <v>1289</v>
      </c>
      <c r="E682">
        <v>6</v>
      </c>
      <c r="F682" s="3">
        <v>324</v>
      </c>
      <c r="G682" s="3">
        <v>1944</v>
      </c>
      <c r="H682" t="s">
        <v>1313</v>
      </c>
      <c r="I682">
        <f>MONTH(Table1_1[[#This Row],[Order Date]])</f>
        <v>6</v>
      </c>
      <c r="J682" t="str">
        <f>TEXT(Table1_1[[#This Row],[Order Date]],"[$-en-US]mmm")</f>
        <v>Jun</v>
      </c>
    </row>
    <row r="683" spans="1:10" x14ac:dyDescent="0.3">
      <c r="A683" t="s">
        <v>724</v>
      </c>
      <c r="B683" s="2">
        <v>45619</v>
      </c>
      <c r="C683" t="s">
        <v>1279</v>
      </c>
      <c r="D683" t="s">
        <v>1289</v>
      </c>
      <c r="E683">
        <v>7</v>
      </c>
      <c r="F683" s="3">
        <v>825</v>
      </c>
      <c r="G683" s="3">
        <v>5775</v>
      </c>
      <c r="H683" t="s">
        <v>1316</v>
      </c>
      <c r="I683">
        <f>MONTH(Table1_1[[#This Row],[Order Date]])</f>
        <v>11</v>
      </c>
      <c r="J683" t="str">
        <f>TEXT(Table1_1[[#This Row],[Order Date]],"[$-en-US]mmm")</f>
        <v>Nov</v>
      </c>
    </row>
    <row r="684" spans="1:10" x14ac:dyDescent="0.3">
      <c r="A684" t="s">
        <v>725</v>
      </c>
      <c r="B684" s="2">
        <v>45579</v>
      </c>
      <c r="C684" t="s">
        <v>1280</v>
      </c>
      <c r="D684" t="s">
        <v>1290</v>
      </c>
      <c r="E684">
        <v>3</v>
      </c>
      <c r="F684" s="3">
        <v>739</v>
      </c>
      <c r="G684" s="3">
        <v>2217</v>
      </c>
      <c r="H684" t="s">
        <v>1315</v>
      </c>
      <c r="I684">
        <f>MONTH(Table1_1[[#This Row],[Order Date]])</f>
        <v>10</v>
      </c>
      <c r="J684" t="str">
        <f>TEXT(Table1_1[[#This Row],[Order Date]],"[$-en-US]mmm")</f>
        <v>Oct</v>
      </c>
    </row>
    <row r="685" spans="1:10" x14ac:dyDescent="0.3">
      <c r="A685" t="s">
        <v>726</v>
      </c>
      <c r="B685" s="2">
        <v>45381</v>
      </c>
      <c r="C685" t="s">
        <v>1274</v>
      </c>
      <c r="D685" t="s">
        <v>1290</v>
      </c>
      <c r="E685">
        <v>10</v>
      </c>
      <c r="F685" s="3">
        <v>849</v>
      </c>
      <c r="G685" s="3">
        <v>8490</v>
      </c>
      <c r="H685" t="s">
        <v>1316</v>
      </c>
      <c r="I685">
        <f>MONTH(Table1_1[[#This Row],[Order Date]])</f>
        <v>3</v>
      </c>
      <c r="J685" t="str">
        <f>TEXT(Table1_1[[#This Row],[Order Date]],"[$-en-US]mmm")</f>
        <v>Mar</v>
      </c>
    </row>
    <row r="686" spans="1:10" x14ac:dyDescent="0.3">
      <c r="A686" t="s">
        <v>727</v>
      </c>
      <c r="B686" s="2">
        <v>45382</v>
      </c>
      <c r="C686" t="s">
        <v>1277</v>
      </c>
      <c r="D686" t="s">
        <v>1289</v>
      </c>
      <c r="E686">
        <v>5</v>
      </c>
      <c r="F686" s="3">
        <v>145</v>
      </c>
      <c r="G686" s="3">
        <v>725</v>
      </c>
      <c r="H686" t="s">
        <v>1314</v>
      </c>
      <c r="I686">
        <f>MONTH(Table1_1[[#This Row],[Order Date]])</f>
        <v>3</v>
      </c>
      <c r="J686" t="str">
        <f>TEXT(Table1_1[[#This Row],[Order Date]],"[$-en-US]mmm")</f>
        <v>Mar</v>
      </c>
    </row>
    <row r="687" spans="1:10" x14ac:dyDescent="0.3">
      <c r="A687" t="s">
        <v>728</v>
      </c>
      <c r="B687" s="2">
        <v>45385</v>
      </c>
      <c r="C687" t="s">
        <v>1275</v>
      </c>
      <c r="D687" t="s">
        <v>1289</v>
      </c>
      <c r="E687">
        <v>10</v>
      </c>
      <c r="F687" s="3">
        <v>48</v>
      </c>
      <c r="G687" s="3">
        <v>480</v>
      </c>
      <c r="H687" t="s">
        <v>1315</v>
      </c>
      <c r="I687">
        <f>MONTH(Table1_1[[#This Row],[Order Date]])</f>
        <v>4</v>
      </c>
      <c r="J687" t="str">
        <f>TEXT(Table1_1[[#This Row],[Order Date]],"[$-en-US]mmm")</f>
        <v>Apr</v>
      </c>
    </row>
    <row r="688" spans="1:10" x14ac:dyDescent="0.3">
      <c r="A688" t="s">
        <v>729</v>
      </c>
      <c r="B688" s="2">
        <v>45546</v>
      </c>
      <c r="C688" t="s">
        <v>1274</v>
      </c>
      <c r="D688" t="s">
        <v>1290</v>
      </c>
      <c r="E688">
        <v>10</v>
      </c>
      <c r="F688" s="3">
        <v>121</v>
      </c>
      <c r="G688" s="3">
        <v>1210</v>
      </c>
      <c r="H688" t="s">
        <v>1313</v>
      </c>
      <c r="I688">
        <f>MONTH(Table1_1[[#This Row],[Order Date]])</f>
        <v>9</v>
      </c>
      <c r="J688" t="str">
        <f>TEXT(Table1_1[[#This Row],[Order Date]],"[$-en-US]mmm")</f>
        <v>Sep</v>
      </c>
    </row>
    <row r="689" spans="1:10" x14ac:dyDescent="0.3">
      <c r="A689" t="s">
        <v>730</v>
      </c>
      <c r="B689" s="2">
        <v>45469</v>
      </c>
      <c r="C689" t="s">
        <v>1280</v>
      </c>
      <c r="D689" t="s">
        <v>1290</v>
      </c>
      <c r="E689">
        <v>2</v>
      </c>
      <c r="F689" s="3">
        <v>258</v>
      </c>
      <c r="G689" s="3">
        <v>516</v>
      </c>
      <c r="H689" t="s">
        <v>1315</v>
      </c>
      <c r="I689">
        <f>MONTH(Table1_1[[#This Row],[Order Date]])</f>
        <v>6</v>
      </c>
      <c r="J689" t="str">
        <f>TEXT(Table1_1[[#This Row],[Order Date]],"[$-en-US]mmm")</f>
        <v>Jun</v>
      </c>
    </row>
    <row r="690" spans="1:10" x14ac:dyDescent="0.3">
      <c r="A690" t="s">
        <v>731</v>
      </c>
      <c r="B690" s="2">
        <v>45654</v>
      </c>
      <c r="C690" t="s">
        <v>1279</v>
      </c>
      <c r="D690" t="s">
        <v>1289</v>
      </c>
      <c r="E690">
        <v>2</v>
      </c>
      <c r="F690" s="3">
        <v>856</v>
      </c>
      <c r="G690" s="3">
        <v>1712</v>
      </c>
      <c r="H690" t="s">
        <v>1315</v>
      </c>
      <c r="I690">
        <f>MONTH(Table1_1[[#This Row],[Order Date]])</f>
        <v>12</v>
      </c>
      <c r="J690" t="str">
        <f>TEXT(Table1_1[[#This Row],[Order Date]],"[$-en-US]mmm")</f>
        <v>Dec</v>
      </c>
    </row>
    <row r="691" spans="1:10" x14ac:dyDescent="0.3">
      <c r="A691" t="s">
        <v>732</v>
      </c>
      <c r="B691" s="2">
        <v>45399</v>
      </c>
      <c r="C691" t="s">
        <v>1282</v>
      </c>
      <c r="D691" t="s">
        <v>1290</v>
      </c>
      <c r="E691">
        <v>1</v>
      </c>
      <c r="F691" s="3">
        <v>286</v>
      </c>
      <c r="G691" s="3">
        <v>286</v>
      </c>
      <c r="H691" t="s">
        <v>1313</v>
      </c>
      <c r="I691">
        <f>MONTH(Table1_1[[#This Row],[Order Date]])</f>
        <v>4</v>
      </c>
      <c r="J691" t="str">
        <f>TEXT(Table1_1[[#This Row],[Order Date]],"[$-en-US]mmm")</f>
        <v>Apr</v>
      </c>
    </row>
    <row r="692" spans="1:10" x14ac:dyDescent="0.3">
      <c r="A692" t="s">
        <v>733</v>
      </c>
      <c r="B692" s="2">
        <v>45347</v>
      </c>
      <c r="C692" t="s">
        <v>1273</v>
      </c>
      <c r="D692" t="s">
        <v>1289</v>
      </c>
      <c r="E692">
        <v>6</v>
      </c>
      <c r="F692" s="3">
        <v>277</v>
      </c>
      <c r="G692" s="3">
        <v>1662</v>
      </c>
      <c r="H692" t="s">
        <v>1314</v>
      </c>
      <c r="I692">
        <f>MONTH(Table1_1[[#This Row],[Order Date]])</f>
        <v>2</v>
      </c>
      <c r="J692" t="str">
        <f>TEXT(Table1_1[[#This Row],[Order Date]],"[$-en-US]mmm")</f>
        <v>Feb</v>
      </c>
    </row>
    <row r="693" spans="1:10" x14ac:dyDescent="0.3">
      <c r="A693" t="s">
        <v>734</v>
      </c>
      <c r="B693" s="2">
        <v>45506</v>
      </c>
      <c r="C693" t="s">
        <v>1276</v>
      </c>
      <c r="D693" t="s">
        <v>1290</v>
      </c>
      <c r="E693">
        <v>7</v>
      </c>
      <c r="F693" s="3">
        <v>463</v>
      </c>
      <c r="G693" s="3">
        <v>3241</v>
      </c>
      <c r="H693" t="s">
        <v>1313</v>
      </c>
      <c r="I693">
        <f>MONTH(Table1_1[[#This Row],[Order Date]])</f>
        <v>8</v>
      </c>
      <c r="J693" t="str">
        <f>TEXT(Table1_1[[#This Row],[Order Date]],"[$-en-US]mmm")</f>
        <v>Aug</v>
      </c>
    </row>
    <row r="694" spans="1:10" x14ac:dyDescent="0.3">
      <c r="A694" t="s">
        <v>735</v>
      </c>
      <c r="B694" s="2">
        <v>45471</v>
      </c>
      <c r="C694" t="s">
        <v>1275</v>
      </c>
      <c r="D694" t="s">
        <v>1289</v>
      </c>
      <c r="E694">
        <v>8</v>
      </c>
      <c r="F694" s="3">
        <v>402</v>
      </c>
      <c r="G694" s="3">
        <v>3216</v>
      </c>
      <c r="H694" t="s">
        <v>1316</v>
      </c>
      <c r="I694">
        <f>MONTH(Table1_1[[#This Row],[Order Date]])</f>
        <v>6</v>
      </c>
      <c r="J694" t="str">
        <f>TEXT(Table1_1[[#This Row],[Order Date]],"[$-en-US]mmm")</f>
        <v>Jun</v>
      </c>
    </row>
    <row r="695" spans="1:10" x14ac:dyDescent="0.3">
      <c r="A695" t="s">
        <v>736</v>
      </c>
      <c r="B695" s="2">
        <v>45587</v>
      </c>
      <c r="C695" t="s">
        <v>1273</v>
      </c>
      <c r="D695" t="s">
        <v>1289</v>
      </c>
      <c r="E695">
        <v>8</v>
      </c>
      <c r="F695" s="3">
        <v>822</v>
      </c>
      <c r="G695" s="3">
        <v>6576</v>
      </c>
      <c r="H695" t="s">
        <v>1313</v>
      </c>
      <c r="I695">
        <f>MONTH(Table1_1[[#This Row],[Order Date]])</f>
        <v>10</v>
      </c>
      <c r="J695" t="str">
        <f>TEXT(Table1_1[[#This Row],[Order Date]],"[$-en-US]mmm")</f>
        <v>Oct</v>
      </c>
    </row>
    <row r="696" spans="1:10" x14ac:dyDescent="0.3">
      <c r="A696" t="s">
        <v>737</v>
      </c>
      <c r="B696" s="2">
        <v>45309</v>
      </c>
      <c r="C696" t="s">
        <v>1279</v>
      </c>
      <c r="D696" t="s">
        <v>1289</v>
      </c>
      <c r="E696">
        <v>8</v>
      </c>
      <c r="F696" s="3">
        <v>90</v>
      </c>
      <c r="G696" s="3">
        <v>720</v>
      </c>
      <c r="H696" t="s">
        <v>1315</v>
      </c>
      <c r="I696">
        <f>MONTH(Table1_1[[#This Row],[Order Date]])</f>
        <v>1</v>
      </c>
      <c r="J696" t="str">
        <f>TEXT(Table1_1[[#This Row],[Order Date]],"[$-en-US]mmm")</f>
        <v>Jan</v>
      </c>
    </row>
    <row r="697" spans="1:10" x14ac:dyDescent="0.3">
      <c r="A697" t="s">
        <v>738</v>
      </c>
      <c r="B697" s="2">
        <v>45345</v>
      </c>
      <c r="C697" t="s">
        <v>1276</v>
      </c>
      <c r="D697" t="s">
        <v>1290</v>
      </c>
      <c r="E697">
        <v>6</v>
      </c>
      <c r="F697" s="3">
        <v>282</v>
      </c>
      <c r="G697" s="3">
        <v>1692</v>
      </c>
      <c r="H697" t="s">
        <v>1314</v>
      </c>
      <c r="I697">
        <f>MONTH(Table1_1[[#This Row],[Order Date]])</f>
        <v>2</v>
      </c>
      <c r="J697" t="str">
        <f>TEXT(Table1_1[[#This Row],[Order Date]],"[$-en-US]mmm")</f>
        <v>Feb</v>
      </c>
    </row>
    <row r="698" spans="1:10" x14ac:dyDescent="0.3">
      <c r="A698" t="s">
        <v>739</v>
      </c>
      <c r="B698" s="2">
        <v>45374</v>
      </c>
      <c r="C698" t="s">
        <v>1280</v>
      </c>
      <c r="D698" t="s">
        <v>1290</v>
      </c>
      <c r="E698">
        <v>3</v>
      </c>
      <c r="F698" s="3">
        <v>399</v>
      </c>
      <c r="G698" s="3">
        <v>1197</v>
      </c>
      <c r="H698" t="s">
        <v>1314</v>
      </c>
      <c r="I698">
        <f>MONTH(Table1_1[[#This Row],[Order Date]])</f>
        <v>3</v>
      </c>
      <c r="J698" t="str">
        <f>TEXT(Table1_1[[#This Row],[Order Date]],"[$-en-US]mmm")</f>
        <v>Mar</v>
      </c>
    </row>
    <row r="699" spans="1:10" x14ac:dyDescent="0.3">
      <c r="A699" t="s">
        <v>740</v>
      </c>
      <c r="B699" s="2">
        <v>45606</v>
      </c>
      <c r="C699" t="s">
        <v>1273</v>
      </c>
      <c r="D699" t="s">
        <v>1289</v>
      </c>
      <c r="E699">
        <v>6</v>
      </c>
      <c r="F699" s="3">
        <v>623</v>
      </c>
      <c r="G699" s="3">
        <v>3738</v>
      </c>
      <c r="H699" t="s">
        <v>1316</v>
      </c>
      <c r="I699">
        <f>MONTH(Table1_1[[#This Row],[Order Date]])</f>
        <v>11</v>
      </c>
      <c r="J699" t="str">
        <f>TEXT(Table1_1[[#This Row],[Order Date]],"[$-en-US]mmm")</f>
        <v>Nov</v>
      </c>
    </row>
    <row r="700" spans="1:10" x14ac:dyDescent="0.3">
      <c r="A700" t="s">
        <v>741</v>
      </c>
      <c r="B700" s="2">
        <v>45376</v>
      </c>
      <c r="C700" t="s">
        <v>1276</v>
      </c>
      <c r="D700" t="s">
        <v>1290</v>
      </c>
      <c r="E700">
        <v>7</v>
      </c>
      <c r="F700" s="3">
        <v>684</v>
      </c>
      <c r="G700" s="3">
        <v>4788</v>
      </c>
      <c r="H700" t="s">
        <v>1316</v>
      </c>
      <c r="I700">
        <f>MONTH(Table1_1[[#This Row],[Order Date]])</f>
        <v>3</v>
      </c>
      <c r="J700" t="str">
        <f>TEXT(Table1_1[[#This Row],[Order Date]],"[$-en-US]mmm")</f>
        <v>Mar</v>
      </c>
    </row>
    <row r="701" spans="1:10" x14ac:dyDescent="0.3">
      <c r="A701" t="s">
        <v>742</v>
      </c>
      <c r="B701" s="2">
        <v>45461</v>
      </c>
      <c r="C701" t="s">
        <v>1279</v>
      </c>
      <c r="D701" t="s">
        <v>1289</v>
      </c>
      <c r="E701">
        <v>1</v>
      </c>
      <c r="F701" s="3">
        <v>118</v>
      </c>
      <c r="G701" s="3">
        <v>118</v>
      </c>
      <c r="H701" t="s">
        <v>1313</v>
      </c>
      <c r="I701">
        <f>MONTH(Table1_1[[#This Row],[Order Date]])</f>
        <v>6</v>
      </c>
      <c r="J701" t="str">
        <f>TEXT(Table1_1[[#This Row],[Order Date]],"[$-en-US]mmm")</f>
        <v>Jun</v>
      </c>
    </row>
    <row r="702" spans="1:10" x14ac:dyDescent="0.3">
      <c r="A702" t="s">
        <v>743</v>
      </c>
      <c r="B702" s="2">
        <v>45575</v>
      </c>
      <c r="C702" t="s">
        <v>1274</v>
      </c>
      <c r="D702" t="s">
        <v>1290</v>
      </c>
      <c r="E702">
        <v>7</v>
      </c>
      <c r="F702" s="3">
        <v>728</v>
      </c>
      <c r="G702" s="3">
        <v>5096</v>
      </c>
      <c r="H702" t="s">
        <v>1315</v>
      </c>
      <c r="I702">
        <f>MONTH(Table1_1[[#This Row],[Order Date]])</f>
        <v>10</v>
      </c>
      <c r="J702" t="str">
        <f>TEXT(Table1_1[[#This Row],[Order Date]],"[$-en-US]mmm")</f>
        <v>Oct</v>
      </c>
    </row>
    <row r="703" spans="1:10" x14ac:dyDescent="0.3">
      <c r="A703" t="s">
        <v>744</v>
      </c>
      <c r="B703" s="2">
        <v>45341</v>
      </c>
      <c r="C703" t="s">
        <v>1277</v>
      </c>
      <c r="D703" t="s">
        <v>1289</v>
      </c>
      <c r="E703">
        <v>5</v>
      </c>
      <c r="F703" s="3">
        <v>258</v>
      </c>
      <c r="G703" s="3">
        <v>1290</v>
      </c>
      <c r="H703" t="s">
        <v>1314</v>
      </c>
      <c r="I703">
        <f>MONTH(Table1_1[[#This Row],[Order Date]])</f>
        <v>2</v>
      </c>
      <c r="J703" t="str">
        <f>TEXT(Table1_1[[#This Row],[Order Date]],"[$-en-US]mmm")</f>
        <v>Feb</v>
      </c>
    </row>
    <row r="704" spans="1:10" x14ac:dyDescent="0.3">
      <c r="A704" t="s">
        <v>745</v>
      </c>
      <c r="B704" s="2">
        <v>45543</v>
      </c>
      <c r="C704" t="s">
        <v>1275</v>
      </c>
      <c r="D704" t="s">
        <v>1289</v>
      </c>
      <c r="E704">
        <v>10</v>
      </c>
      <c r="F704" s="3">
        <v>577</v>
      </c>
      <c r="G704" s="3">
        <v>5770</v>
      </c>
      <c r="H704" t="s">
        <v>1313</v>
      </c>
      <c r="I704">
        <f>MONTH(Table1_1[[#This Row],[Order Date]])</f>
        <v>9</v>
      </c>
      <c r="J704" t="str">
        <f>TEXT(Table1_1[[#This Row],[Order Date]],"[$-en-US]mmm")</f>
        <v>Sep</v>
      </c>
    </row>
    <row r="705" spans="1:10" x14ac:dyDescent="0.3">
      <c r="A705" t="s">
        <v>746</v>
      </c>
      <c r="B705" s="2">
        <v>45510</v>
      </c>
      <c r="C705" t="s">
        <v>1276</v>
      </c>
      <c r="D705" t="s">
        <v>1290</v>
      </c>
      <c r="E705">
        <v>6</v>
      </c>
      <c r="F705" s="3">
        <v>18</v>
      </c>
      <c r="G705" s="3">
        <v>108</v>
      </c>
      <c r="H705" t="s">
        <v>1314</v>
      </c>
      <c r="I705">
        <f>MONTH(Table1_1[[#This Row],[Order Date]])</f>
        <v>8</v>
      </c>
      <c r="J705" t="str">
        <f>TEXT(Table1_1[[#This Row],[Order Date]],"[$-en-US]mmm")</f>
        <v>Aug</v>
      </c>
    </row>
    <row r="706" spans="1:10" x14ac:dyDescent="0.3">
      <c r="A706" t="s">
        <v>747</v>
      </c>
      <c r="B706" s="2">
        <v>45394</v>
      </c>
      <c r="C706" t="s">
        <v>1277</v>
      </c>
      <c r="D706" t="s">
        <v>1289</v>
      </c>
      <c r="E706">
        <v>10</v>
      </c>
      <c r="F706" s="3">
        <v>506</v>
      </c>
      <c r="G706" s="3">
        <v>5060</v>
      </c>
      <c r="H706" t="s">
        <v>1314</v>
      </c>
      <c r="I706">
        <f>MONTH(Table1_1[[#This Row],[Order Date]])</f>
        <v>4</v>
      </c>
      <c r="J706" t="str">
        <f>TEXT(Table1_1[[#This Row],[Order Date]],"[$-en-US]mmm")</f>
        <v>Apr</v>
      </c>
    </row>
    <row r="707" spans="1:10" x14ac:dyDescent="0.3">
      <c r="A707" t="s">
        <v>748</v>
      </c>
      <c r="B707" s="2">
        <v>45618</v>
      </c>
      <c r="C707" t="s">
        <v>1276</v>
      </c>
      <c r="D707" t="s">
        <v>1290</v>
      </c>
      <c r="E707">
        <v>4</v>
      </c>
      <c r="F707" s="3">
        <v>189</v>
      </c>
      <c r="G707" s="3">
        <v>756</v>
      </c>
      <c r="H707" t="s">
        <v>1315</v>
      </c>
      <c r="I707">
        <f>MONTH(Table1_1[[#This Row],[Order Date]])</f>
        <v>11</v>
      </c>
      <c r="J707" t="str">
        <f>TEXT(Table1_1[[#This Row],[Order Date]],"[$-en-US]mmm")</f>
        <v>Nov</v>
      </c>
    </row>
    <row r="708" spans="1:10" x14ac:dyDescent="0.3">
      <c r="A708" t="s">
        <v>749</v>
      </c>
      <c r="B708" s="2">
        <v>45351</v>
      </c>
      <c r="C708" t="s">
        <v>1273</v>
      </c>
      <c r="D708" t="s">
        <v>1289</v>
      </c>
      <c r="E708">
        <v>8</v>
      </c>
      <c r="F708" s="3">
        <v>879</v>
      </c>
      <c r="G708" s="3">
        <v>7032</v>
      </c>
      <c r="H708" t="s">
        <v>1315</v>
      </c>
      <c r="I708">
        <f>MONTH(Table1_1[[#This Row],[Order Date]])</f>
        <v>2</v>
      </c>
      <c r="J708" t="str">
        <f>TEXT(Table1_1[[#This Row],[Order Date]],"[$-en-US]mmm")</f>
        <v>Feb</v>
      </c>
    </row>
    <row r="709" spans="1:10" x14ac:dyDescent="0.3">
      <c r="A709" t="s">
        <v>750</v>
      </c>
      <c r="B709" s="2">
        <v>45630</v>
      </c>
      <c r="C709" t="s">
        <v>1275</v>
      </c>
      <c r="D709" t="s">
        <v>1289</v>
      </c>
      <c r="E709">
        <v>8</v>
      </c>
      <c r="F709" s="3">
        <v>515</v>
      </c>
      <c r="G709" s="3">
        <v>4120</v>
      </c>
      <c r="H709" t="s">
        <v>1315</v>
      </c>
      <c r="I709">
        <f>MONTH(Table1_1[[#This Row],[Order Date]])</f>
        <v>12</v>
      </c>
      <c r="J709" t="str">
        <f>TEXT(Table1_1[[#This Row],[Order Date]],"[$-en-US]mmm")</f>
        <v>Dec</v>
      </c>
    </row>
    <row r="710" spans="1:10" x14ac:dyDescent="0.3">
      <c r="A710" t="s">
        <v>752</v>
      </c>
      <c r="B710" s="2">
        <v>45520</v>
      </c>
      <c r="C710" t="s">
        <v>1275</v>
      </c>
      <c r="D710" t="s">
        <v>1289</v>
      </c>
      <c r="E710">
        <v>6</v>
      </c>
      <c r="F710" s="3">
        <v>206</v>
      </c>
      <c r="G710" s="3">
        <v>1236</v>
      </c>
      <c r="H710" t="s">
        <v>1314</v>
      </c>
      <c r="I710">
        <f>MONTH(Table1_1[[#This Row],[Order Date]])</f>
        <v>8</v>
      </c>
      <c r="J710" t="str">
        <f>TEXT(Table1_1[[#This Row],[Order Date]],"[$-en-US]mmm")</f>
        <v>Aug</v>
      </c>
    </row>
    <row r="711" spans="1:10" x14ac:dyDescent="0.3">
      <c r="A711" t="s">
        <v>753</v>
      </c>
      <c r="B711" s="2">
        <v>45426</v>
      </c>
      <c r="C711" t="s">
        <v>1277</v>
      </c>
      <c r="D711" t="s">
        <v>1289</v>
      </c>
      <c r="E711">
        <v>8</v>
      </c>
      <c r="F711" s="3">
        <v>491</v>
      </c>
      <c r="G711" s="3">
        <v>3928</v>
      </c>
      <c r="H711" t="s">
        <v>1313</v>
      </c>
      <c r="I711">
        <f>MONTH(Table1_1[[#This Row],[Order Date]])</f>
        <v>5</v>
      </c>
      <c r="J711" t="str">
        <f>TEXT(Table1_1[[#This Row],[Order Date]],"[$-en-US]mmm")</f>
        <v>May</v>
      </c>
    </row>
    <row r="712" spans="1:10" x14ac:dyDescent="0.3">
      <c r="A712" t="s">
        <v>754</v>
      </c>
      <c r="B712" s="2">
        <v>45369</v>
      </c>
      <c r="C712" t="s">
        <v>1277</v>
      </c>
      <c r="D712" t="s">
        <v>1289</v>
      </c>
      <c r="E712">
        <v>10</v>
      </c>
      <c r="F712" s="3">
        <v>78</v>
      </c>
      <c r="G712" s="3">
        <v>780</v>
      </c>
      <c r="H712" t="s">
        <v>1314</v>
      </c>
      <c r="I712">
        <f>MONTH(Table1_1[[#This Row],[Order Date]])</f>
        <v>3</v>
      </c>
      <c r="J712" t="str">
        <f>TEXT(Table1_1[[#This Row],[Order Date]],"[$-en-US]mmm")</f>
        <v>Mar</v>
      </c>
    </row>
    <row r="713" spans="1:10" x14ac:dyDescent="0.3">
      <c r="A713" t="s">
        <v>755</v>
      </c>
      <c r="B713" s="2">
        <v>45569</v>
      </c>
      <c r="C713" t="s">
        <v>1273</v>
      </c>
      <c r="D713" t="s">
        <v>1289</v>
      </c>
      <c r="E713">
        <v>6</v>
      </c>
      <c r="F713" s="3">
        <v>842</v>
      </c>
      <c r="G713" s="3">
        <v>5052</v>
      </c>
      <c r="H713" t="s">
        <v>1316</v>
      </c>
      <c r="I713">
        <f>MONTH(Table1_1[[#This Row],[Order Date]])</f>
        <v>10</v>
      </c>
      <c r="J713" t="str">
        <f>TEXT(Table1_1[[#This Row],[Order Date]],"[$-en-US]mmm")</f>
        <v>Oct</v>
      </c>
    </row>
    <row r="714" spans="1:10" x14ac:dyDescent="0.3">
      <c r="A714" t="s">
        <v>756</v>
      </c>
      <c r="B714" s="2">
        <v>45490</v>
      </c>
      <c r="C714" t="s">
        <v>1274</v>
      </c>
      <c r="D714" t="s">
        <v>1290</v>
      </c>
      <c r="E714">
        <v>9</v>
      </c>
      <c r="F714" s="3">
        <v>77</v>
      </c>
      <c r="G714" s="3">
        <v>693</v>
      </c>
      <c r="H714" t="s">
        <v>1316</v>
      </c>
      <c r="I714">
        <f>MONTH(Table1_1[[#This Row],[Order Date]])</f>
        <v>7</v>
      </c>
      <c r="J714" t="str">
        <f>TEXT(Table1_1[[#This Row],[Order Date]],"[$-en-US]mmm")</f>
        <v>Jul</v>
      </c>
    </row>
    <row r="715" spans="1:10" x14ac:dyDescent="0.3">
      <c r="A715" t="s">
        <v>757</v>
      </c>
      <c r="B715" s="2">
        <v>45535</v>
      </c>
      <c r="C715" t="s">
        <v>1282</v>
      </c>
      <c r="D715" t="s">
        <v>1290</v>
      </c>
      <c r="E715">
        <v>10</v>
      </c>
      <c r="F715" s="3">
        <v>256</v>
      </c>
      <c r="G715" s="3">
        <v>2560</v>
      </c>
      <c r="H715" t="s">
        <v>1315</v>
      </c>
      <c r="I715">
        <f>MONTH(Table1_1[[#This Row],[Order Date]])</f>
        <v>8</v>
      </c>
      <c r="J715" t="str">
        <f>TEXT(Table1_1[[#This Row],[Order Date]],"[$-en-US]mmm")</f>
        <v>Aug</v>
      </c>
    </row>
    <row r="716" spans="1:10" x14ac:dyDescent="0.3">
      <c r="A716" t="s">
        <v>758</v>
      </c>
      <c r="B716" s="2">
        <v>45309</v>
      </c>
      <c r="C716" t="s">
        <v>1273</v>
      </c>
      <c r="D716" t="s">
        <v>1289</v>
      </c>
      <c r="E716">
        <v>7</v>
      </c>
      <c r="F716" s="3">
        <v>889</v>
      </c>
      <c r="G716" s="3">
        <v>6223</v>
      </c>
      <c r="H716" t="s">
        <v>1313</v>
      </c>
      <c r="I716">
        <f>MONTH(Table1_1[[#This Row],[Order Date]])</f>
        <v>1</v>
      </c>
      <c r="J716" t="str">
        <f>TEXT(Table1_1[[#This Row],[Order Date]],"[$-en-US]mmm")</f>
        <v>Jan</v>
      </c>
    </row>
    <row r="717" spans="1:10" x14ac:dyDescent="0.3">
      <c r="A717" t="s">
        <v>759</v>
      </c>
      <c r="B717" s="2">
        <v>45377</v>
      </c>
      <c r="C717" t="s">
        <v>1273</v>
      </c>
      <c r="D717" t="s">
        <v>1289</v>
      </c>
      <c r="E717">
        <v>8</v>
      </c>
      <c r="F717" s="3">
        <v>192</v>
      </c>
      <c r="G717" s="3">
        <v>1536</v>
      </c>
      <c r="H717" t="s">
        <v>1313</v>
      </c>
      <c r="I717">
        <f>MONTH(Table1_1[[#This Row],[Order Date]])</f>
        <v>3</v>
      </c>
      <c r="J717" t="str">
        <f>TEXT(Table1_1[[#This Row],[Order Date]],"[$-en-US]mmm")</f>
        <v>Mar</v>
      </c>
    </row>
    <row r="718" spans="1:10" x14ac:dyDescent="0.3">
      <c r="A718" t="s">
        <v>760</v>
      </c>
      <c r="B718" s="2">
        <v>45508</v>
      </c>
      <c r="C718" t="s">
        <v>1274</v>
      </c>
      <c r="D718" t="s">
        <v>1290</v>
      </c>
      <c r="E718">
        <v>3</v>
      </c>
      <c r="F718" s="3">
        <v>58</v>
      </c>
      <c r="G718" s="3">
        <v>174</v>
      </c>
      <c r="H718" t="s">
        <v>1314</v>
      </c>
      <c r="I718">
        <f>MONTH(Table1_1[[#This Row],[Order Date]])</f>
        <v>8</v>
      </c>
      <c r="J718" t="str">
        <f>TEXT(Table1_1[[#This Row],[Order Date]],"[$-en-US]mmm")</f>
        <v>Aug</v>
      </c>
    </row>
    <row r="719" spans="1:10" x14ac:dyDescent="0.3">
      <c r="A719" t="s">
        <v>761</v>
      </c>
      <c r="B719" s="2">
        <v>45613</v>
      </c>
      <c r="C719" t="s">
        <v>1275</v>
      </c>
      <c r="D719" t="s">
        <v>1289</v>
      </c>
      <c r="E719">
        <v>4</v>
      </c>
      <c r="F719" s="3">
        <v>857</v>
      </c>
      <c r="G719" s="3">
        <v>3428</v>
      </c>
      <c r="H719" t="s">
        <v>1313</v>
      </c>
      <c r="I719">
        <f>MONTH(Table1_1[[#This Row],[Order Date]])</f>
        <v>11</v>
      </c>
      <c r="J719" t="str">
        <f>TEXT(Table1_1[[#This Row],[Order Date]],"[$-en-US]mmm")</f>
        <v>Nov</v>
      </c>
    </row>
    <row r="720" spans="1:10" x14ac:dyDescent="0.3">
      <c r="A720" t="s">
        <v>762</v>
      </c>
      <c r="B720" s="2">
        <v>45326</v>
      </c>
      <c r="C720" t="s">
        <v>1277</v>
      </c>
      <c r="D720" t="s">
        <v>1289</v>
      </c>
      <c r="E720">
        <v>6</v>
      </c>
      <c r="F720" s="3">
        <v>759</v>
      </c>
      <c r="G720" s="3">
        <v>4554</v>
      </c>
      <c r="H720" t="s">
        <v>1314</v>
      </c>
      <c r="I720">
        <f>MONTH(Table1_1[[#This Row],[Order Date]])</f>
        <v>2</v>
      </c>
      <c r="J720" t="str">
        <f>TEXT(Table1_1[[#This Row],[Order Date]],"[$-en-US]mmm")</f>
        <v>Feb</v>
      </c>
    </row>
    <row r="721" spans="1:10" x14ac:dyDescent="0.3">
      <c r="A721" t="s">
        <v>763</v>
      </c>
      <c r="B721" s="2">
        <v>45574</v>
      </c>
      <c r="C721" t="s">
        <v>1275</v>
      </c>
      <c r="D721" t="s">
        <v>1289</v>
      </c>
      <c r="E721">
        <v>9</v>
      </c>
      <c r="F721" s="3">
        <v>421</v>
      </c>
      <c r="G721" s="3">
        <v>3789</v>
      </c>
      <c r="H721" t="s">
        <v>1315</v>
      </c>
      <c r="I721">
        <f>MONTH(Table1_1[[#This Row],[Order Date]])</f>
        <v>10</v>
      </c>
      <c r="J721" t="str">
        <f>TEXT(Table1_1[[#This Row],[Order Date]],"[$-en-US]mmm")</f>
        <v>Oct</v>
      </c>
    </row>
    <row r="722" spans="1:10" x14ac:dyDescent="0.3">
      <c r="A722" t="s">
        <v>764</v>
      </c>
      <c r="B722" s="2">
        <v>45298</v>
      </c>
      <c r="C722" t="s">
        <v>1277</v>
      </c>
      <c r="D722" t="s">
        <v>1289</v>
      </c>
      <c r="E722">
        <v>9</v>
      </c>
      <c r="F722" s="3">
        <v>484</v>
      </c>
      <c r="G722" s="3">
        <v>4356</v>
      </c>
      <c r="H722" t="s">
        <v>1316</v>
      </c>
      <c r="I722">
        <f>MONTH(Table1_1[[#This Row],[Order Date]])</f>
        <v>1</v>
      </c>
      <c r="J722" t="str">
        <f>TEXT(Table1_1[[#This Row],[Order Date]],"[$-en-US]mmm")</f>
        <v>Jan</v>
      </c>
    </row>
    <row r="723" spans="1:10" x14ac:dyDescent="0.3">
      <c r="A723" t="s">
        <v>765</v>
      </c>
      <c r="B723" s="2">
        <v>45367</v>
      </c>
      <c r="C723" t="s">
        <v>1273</v>
      </c>
      <c r="D723" t="s">
        <v>1289</v>
      </c>
      <c r="E723">
        <v>7</v>
      </c>
      <c r="F723" s="3">
        <v>168</v>
      </c>
      <c r="G723" s="3">
        <v>1176</v>
      </c>
      <c r="H723" t="s">
        <v>1314</v>
      </c>
      <c r="I723">
        <f>MONTH(Table1_1[[#This Row],[Order Date]])</f>
        <v>3</v>
      </c>
      <c r="J723" t="str">
        <f>TEXT(Table1_1[[#This Row],[Order Date]],"[$-en-US]mmm")</f>
        <v>Mar</v>
      </c>
    </row>
    <row r="724" spans="1:10" x14ac:dyDescent="0.3">
      <c r="A724" t="s">
        <v>766</v>
      </c>
      <c r="B724" s="2">
        <v>45343</v>
      </c>
      <c r="C724" t="s">
        <v>1273</v>
      </c>
      <c r="D724" t="s">
        <v>1289</v>
      </c>
      <c r="E724">
        <v>10</v>
      </c>
      <c r="F724" s="3">
        <v>813</v>
      </c>
      <c r="G724" s="3">
        <v>8130</v>
      </c>
      <c r="H724" t="s">
        <v>1315</v>
      </c>
      <c r="I724">
        <f>MONTH(Table1_1[[#This Row],[Order Date]])</f>
        <v>2</v>
      </c>
      <c r="J724" t="str">
        <f>TEXT(Table1_1[[#This Row],[Order Date]],"[$-en-US]mmm")</f>
        <v>Feb</v>
      </c>
    </row>
    <row r="725" spans="1:10" x14ac:dyDescent="0.3">
      <c r="A725" t="s">
        <v>768</v>
      </c>
      <c r="B725" s="2">
        <v>45433</v>
      </c>
      <c r="C725" t="s">
        <v>1282</v>
      </c>
      <c r="D725" t="s">
        <v>1290</v>
      </c>
      <c r="E725">
        <v>1</v>
      </c>
      <c r="F725" s="3">
        <v>191</v>
      </c>
      <c r="G725" s="3">
        <v>191</v>
      </c>
      <c r="H725" t="s">
        <v>1316</v>
      </c>
      <c r="I725">
        <f>MONTH(Table1_1[[#This Row],[Order Date]])</f>
        <v>5</v>
      </c>
      <c r="J725" t="str">
        <f>TEXT(Table1_1[[#This Row],[Order Date]],"[$-en-US]mmm")</f>
        <v>May</v>
      </c>
    </row>
    <row r="726" spans="1:10" x14ac:dyDescent="0.3">
      <c r="A726" t="s">
        <v>769</v>
      </c>
      <c r="B726" s="2">
        <v>45640</v>
      </c>
      <c r="C726" t="s">
        <v>1279</v>
      </c>
      <c r="D726" t="s">
        <v>1289</v>
      </c>
      <c r="E726">
        <v>10</v>
      </c>
      <c r="F726" s="3">
        <v>638</v>
      </c>
      <c r="G726" s="3">
        <v>6380</v>
      </c>
      <c r="H726" t="s">
        <v>1316</v>
      </c>
      <c r="I726">
        <f>MONTH(Table1_1[[#This Row],[Order Date]])</f>
        <v>12</v>
      </c>
      <c r="J726" t="str">
        <f>TEXT(Table1_1[[#This Row],[Order Date]],"[$-en-US]mmm")</f>
        <v>Dec</v>
      </c>
    </row>
    <row r="727" spans="1:10" x14ac:dyDescent="0.3">
      <c r="A727" t="s">
        <v>770</v>
      </c>
      <c r="B727" s="2">
        <v>45645</v>
      </c>
      <c r="C727" t="s">
        <v>1276</v>
      </c>
      <c r="D727" t="s">
        <v>1290</v>
      </c>
      <c r="E727">
        <v>7</v>
      </c>
      <c r="F727" s="3">
        <v>354</v>
      </c>
      <c r="G727" s="3">
        <v>2478</v>
      </c>
      <c r="H727" t="s">
        <v>1313</v>
      </c>
      <c r="I727">
        <f>MONTH(Table1_1[[#This Row],[Order Date]])</f>
        <v>12</v>
      </c>
      <c r="J727" t="str">
        <f>TEXT(Table1_1[[#This Row],[Order Date]],"[$-en-US]mmm")</f>
        <v>Dec</v>
      </c>
    </row>
    <row r="728" spans="1:10" x14ac:dyDescent="0.3">
      <c r="A728" t="s">
        <v>771</v>
      </c>
      <c r="B728" s="2">
        <v>45482</v>
      </c>
      <c r="C728" t="s">
        <v>1276</v>
      </c>
      <c r="D728" t="s">
        <v>1290</v>
      </c>
      <c r="E728">
        <v>8</v>
      </c>
      <c r="F728" s="3">
        <v>290</v>
      </c>
      <c r="G728" s="3">
        <v>2320</v>
      </c>
      <c r="H728" t="s">
        <v>1314</v>
      </c>
      <c r="I728">
        <f>MONTH(Table1_1[[#This Row],[Order Date]])</f>
        <v>7</v>
      </c>
      <c r="J728" t="str">
        <f>TEXT(Table1_1[[#This Row],[Order Date]],"[$-en-US]mmm")</f>
        <v>Jul</v>
      </c>
    </row>
    <row r="729" spans="1:10" x14ac:dyDescent="0.3">
      <c r="A729" t="s">
        <v>772</v>
      </c>
      <c r="B729" s="2">
        <v>45435</v>
      </c>
      <c r="C729" t="s">
        <v>1280</v>
      </c>
      <c r="D729" t="s">
        <v>1290</v>
      </c>
      <c r="E729">
        <v>5</v>
      </c>
      <c r="F729" s="3">
        <v>333</v>
      </c>
      <c r="G729" s="3">
        <v>1665</v>
      </c>
      <c r="H729" t="s">
        <v>1316</v>
      </c>
      <c r="I729">
        <f>MONTH(Table1_1[[#This Row],[Order Date]])</f>
        <v>5</v>
      </c>
      <c r="J729" t="str">
        <f>TEXT(Table1_1[[#This Row],[Order Date]],"[$-en-US]mmm")</f>
        <v>May</v>
      </c>
    </row>
    <row r="730" spans="1:10" x14ac:dyDescent="0.3">
      <c r="A730" t="s">
        <v>773</v>
      </c>
      <c r="B730" s="2">
        <v>45445</v>
      </c>
      <c r="C730" t="s">
        <v>1273</v>
      </c>
      <c r="D730" t="s">
        <v>1289</v>
      </c>
      <c r="E730">
        <v>4</v>
      </c>
      <c r="F730" s="3">
        <v>152</v>
      </c>
      <c r="G730" s="3">
        <v>608</v>
      </c>
      <c r="H730" t="s">
        <v>1316</v>
      </c>
      <c r="I730">
        <f>MONTH(Table1_1[[#This Row],[Order Date]])</f>
        <v>6</v>
      </c>
      <c r="J730" t="str">
        <f>TEXT(Table1_1[[#This Row],[Order Date]],"[$-en-US]mmm")</f>
        <v>Jun</v>
      </c>
    </row>
    <row r="731" spans="1:10" x14ac:dyDescent="0.3">
      <c r="A731" t="s">
        <v>775</v>
      </c>
      <c r="B731" s="2">
        <v>45500</v>
      </c>
      <c r="C731" t="s">
        <v>1274</v>
      </c>
      <c r="D731" t="s">
        <v>1290</v>
      </c>
      <c r="E731">
        <v>8</v>
      </c>
      <c r="F731" s="3">
        <v>231</v>
      </c>
      <c r="G731" s="3">
        <v>1848</v>
      </c>
      <c r="H731" t="s">
        <v>1316</v>
      </c>
      <c r="I731">
        <f>MONTH(Table1_1[[#This Row],[Order Date]])</f>
        <v>7</v>
      </c>
      <c r="J731" t="str">
        <f>TEXT(Table1_1[[#This Row],[Order Date]],"[$-en-US]mmm")</f>
        <v>Jul</v>
      </c>
    </row>
    <row r="732" spans="1:10" x14ac:dyDescent="0.3">
      <c r="A732" t="s">
        <v>776</v>
      </c>
      <c r="B732" s="2">
        <v>45373</v>
      </c>
      <c r="C732" t="s">
        <v>1280</v>
      </c>
      <c r="D732" t="s">
        <v>1290</v>
      </c>
      <c r="E732">
        <v>1</v>
      </c>
      <c r="F732" s="3">
        <v>542</v>
      </c>
      <c r="G732" s="3">
        <v>542</v>
      </c>
      <c r="H732" t="s">
        <v>1314</v>
      </c>
      <c r="I732">
        <f>MONTH(Table1_1[[#This Row],[Order Date]])</f>
        <v>3</v>
      </c>
      <c r="J732" t="str">
        <f>TEXT(Table1_1[[#This Row],[Order Date]],"[$-en-US]mmm")</f>
        <v>Mar</v>
      </c>
    </row>
    <row r="733" spans="1:10" x14ac:dyDescent="0.3">
      <c r="A733" t="s">
        <v>778</v>
      </c>
      <c r="B733" s="2">
        <v>45394</v>
      </c>
      <c r="C733" t="s">
        <v>1279</v>
      </c>
      <c r="D733" t="s">
        <v>1289</v>
      </c>
      <c r="E733">
        <v>4</v>
      </c>
      <c r="F733" s="3">
        <v>867</v>
      </c>
      <c r="G733" s="3">
        <v>3468</v>
      </c>
      <c r="H733" t="s">
        <v>1314</v>
      </c>
      <c r="I733">
        <f>MONTH(Table1_1[[#This Row],[Order Date]])</f>
        <v>4</v>
      </c>
      <c r="J733" t="str">
        <f>TEXT(Table1_1[[#This Row],[Order Date]],"[$-en-US]mmm")</f>
        <v>Apr</v>
      </c>
    </row>
    <row r="734" spans="1:10" x14ac:dyDescent="0.3">
      <c r="A734" t="s">
        <v>779</v>
      </c>
      <c r="B734" s="2">
        <v>45317</v>
      </c>
      <c r="C734" t="s">
        <v>1274</v>
      </c>
      <c r="D734" t="s">
        <v>1290</v>
      </c>
      <c r="E734">
        <v>1</v>
      </c>
      <c r="F734" s="3">
        <v>482</v>
      </c>
      <c r="G734" s="3">
        <v>482</v>
      </c>
      <c r="H734" t="s">
        <v>1315</v>
      </c>
      <c r="I734">
        <f>MONTH(Table1_1[[#This Row],[Order Date]])</f>
        <v>1</v>
      </c>
      <c r="J734" t="str">
        <f>TEXT(Table1_1[[#This Row],[Order Date]],"[$-en-US]mmm")</f>
        <v>Jan</v>
      </c>
    </row>
    <row r="735" spans="1:10" x14ac:dyDescent="0.3">
      <c r="A735" t="s">
        <v>780</v>
      </c>
      <c r="B735" s="2">
        <v>45529</v>
      </c>
      <c r="C735" t="s">
        <v>1274</v>
      </c>
      <c r="D735" t="s">
        <v>1290</v>
      </c>
      <c r="E735">
        <v>5</v>
      </c>
      <c r="F735" s="3">
        <v>392</v>
      </c>
      <c r="G735" s="3">
        <v>1960</v>
      </c>
      <c r="H735" t="s">
        <v>1316</v>
      </c>
      <c r="I735">
        <f>MONTH(Table1_1[[#This Row],[Order Date]])</f>
        <v>8</v>
      </c>
      <c r="J735" t="str">
        <f>TEXT(Table1_1[[#This Row],[Order Date]],"[$-en-US]mmm")</f>
        <v>Aug</v>
      </c>
    </row>
    <row r="736" spans="1:10" x14ac:dyDescent="0.3">
      <c r="A736" t="s">
        <v>781</v>
      </c>
      <c r="B736" s="2">
        <v>45482</v>
      </c>
      <c r="C736" t="s">
        <v>1273</v>
      </c>
      <c r="D736" t="s">
        <v>1289</v>
      </c>
      <c r="E736">
        <v>1</v>
      </c>
      <c r="F736" s="3">
        <v>262</v>
      </c>
      <c r="G736" s="3">
        <v>262</v>
      </c>
      <c r="H736" t="s">
        <v>1316</v>
      </c>
      <c r="I736">
        <f>MONTH(Table1_1[[#This Row],[Order Date]])</f>
        <v>7</v>
      </c>
      <c r="J736" t="str">
        <f>TEXT(Table1_1[[#This Row],[Order Date]],"[$-en-US]mmm")</f>
        <v>Jul</v>
      </c>
    </row>
    <row r="737" spans="1:10" x14ac:dyDescent="0.3">
      <c r="A737" t="s">
        <v>782</v>
      </c>
      <c r="B737" s="2">
        <v>45592</v>
      </c>
      <c r="C737" t="s">
        <v>1282</v>
      </c>
      <c r="D737" t="s">
        <v>1290</v>
      </c>
      <c r="E737">
        <v>3</v>
      </c>
      <c r="F737" s="3">
        <v>500</v>
      </c>
      <c r="G737" s="3">
        <v>1500</v>
      </c>
      <c r="H737" t="s">
        <v>1315</v>
      </c>
      <c r="I737">
        <f>MONTH(Table1_1[[#This Row],[Order Date]])</f>
        <v>10</v>
      </c>
      <c r="J737" t="str">
        <f>TEXT(Table1_1[[#This Row],[Order Date]],"[$-en-US]mmm")</f>
        <v>Oct</v>
      </c>
    </row>
    <row r="738" spans="1:10" x14ac:dyDescent="0.3">
      <c r="A738" t="s">
        <v>783</v>
      </c>
      <c r="B738" s="2">
        <v>45424</v>
      </c>
      <c r="C738" t="s">
        <v>1280</v>
      </c>
      <c r="D738" t="s">
        <v>1290</v>
      </c>
      <c r="E738">
        <v>3</v>
      </c>
      <c r="F738" s="3">
        <v>872</v>
      </c>
      <c r="G738" s="3">
        <v>2616</v>
      </c>
      <c r="H738" t="s">
        <v>1314</v>
      </c>
      <c r="I738">
        <f>MONTH(Table1_1[[#This Row],[Order Date]])</f>
        <v>5</v>
      </c>
      <c r="J738" t="str">
        <f>TEXT(Table1_1[[#This Row],[Order Date]],"[$-en-US]mmm")</f>
        <v>May</v>
      </c>
    </row>
    <row r="739" spans="1:10" x14ac:dyDescent="0.3">
      <c r="A739" t="s">
        <v>784</v>
      </c>
      <c r="B739" s="2">
        <v>45317</v>
      </c>
      <c r="C739" t="s">
        <v>1277</v>
      </c>
      <c r="D739" t="s">
        <v>1289</v>
      </c>
      <c r="E739">
        <v>1</v>
      </c>
      <c r="F739" s="3">
        <v>410</v>
      </c>
      <c r="G739" s="3">
        <v>410</v>
      </c>
      <c r="H739" t="s">
        <v>1313</v>
      </c>
      <c r="I739">
        <f>MONTH(Table1_1[[#This Row],[Order Date]])</f>
        <v>1</v>
      </c>
      <c r="J739" t="str">
        <f>TEXT(Table1_1[[#This Row],[Order Date]],"[$-en-US]mmm")</f>
        <v>Jan</v>
      </c>
    </row>
    <row r="740" spans="1:10" x14ac:dyDescent="0.3">
      <c r="A740" t="s">
        <v>785</v>
      </c>
      <c r="B740" s="2">
        <v>45407</v>
      </c>
      <c r="C740" t="s">
        <v>1274</v>
      </c>
      <c r="D740" t="s">
        <v>1290</v>
      </c>
      <c r="E740">
        <v>4</v>
      </c>
      <c r="F740" s="3">
        <v>677</v>
      </c>
      <c r="G740" s="3">
        <v>2708</v>
      </c>
      <c r="H740" t="s">
        <v>1313</v>
      </c>
      <c r="I740">
        <f>MONTH(Table1_1[[#This Row],[Order Date]])</f>
        <v>4</v>
      </c>
      <c r="J740" t="str">
        <f>TEXT(Table1_1[[#This Row],[Order Date]],"[$-en-US]mmm")</f>
        <v>Apr</v>
      </c>
    </row>
    <row r="741" spans="1:10" x14ac:dyDescent="0.3">
      <c r="A741" t="s">
        <v>786</v>
      </c>
      <c r="B741" s="2">
        <v>45302</v>
      </c>
      <c r="C741" t="s">
        <v>1277</v>
      </c>
      <c r="D741" t="s">
        <v>1289</v>
      </c>
      <c r="E741">
        <v>7</v>
      </c>
      <c r="F741" s="3">
        <v>540</v>
      </c>
      <c r="G741" s="3">
        <v>3780</v>
      </c>
      <c r="H741" t="s">
        <v>1314</v>
      </c>
      <c r="I741">
        <f>MONTH(Table1_1[[#This Row],[Order Date]])</f>
        <v>1</v>
      </c>
      <c r="J741" t="str">
        <f>TEXT(Table1_1[[#This Row],[Order Date]],"[$-en-US]mmm")</f>
        <v>Jan</v>
      </c>
    </row>
    <row r="742" spans="1:10" x14ac:dyDescent="0.3">
      <c r="A742" t="s">
        <v>787</v>
      </c>
      <c r="B742" s="2">
        <v>45380</v>
      </c>
      <c r="C742" t="s">
        <v>1282</v>
      </c>
      <c r="D742" t="s">
        <v>1290</v>
      </c>
      <c r="E742">
        <v>3</v>
      </c>
      <c r="F742" s="3">
        <v>677</v>
      </c>
      <c r="G742" s="3">
        <v>2031</v>
      </c>
      <c r="H742" t="s">
        <v>1314</v>
      </c>
      <c r="I742">
        <f>MONTH(Table1_1[[#This Row],[Order Date]])</f>
        <v>3</v>
      </c>
      <c r="J742" t="str">
        <f>TEXT(Table1_1[[#This Row],[Order Date]],"[$-en-US]mmm")</f>
        <v>Mar</v>
      </c>
    </row>
    <row r="743" spans="1:10" x14ac:dyDescent="0.3">
      <c r="A743" t="s">
        <v>788</v>
      </c>
      <c r="B743" s="2">
        <v>45448</v>
      </c>
      <c r="C743" t="s">
        <v>1274</v>
      </c>
      <c r="D743" t="s">
        <v>1290</v>
      </c>
      <c r="E743">
        <v>5</v>
      </c>
      <c r="F743" s="3">
        <v>637</v>
      </c>
      <c r="G743" s="3">
        <v>3185</v>
      </c>
      <c r="H743" t="s">
        <v>1315</v>
      </c>
      <c r="I743">
        <f>MONTH(Table1_1[[#This Row],[Order Date]])</f>
        <v>6</v>
      </c>
      <c r="J743" t="str">
        <f>TEXT(Table1_1[[#This Row],[Order Date]],"[$-en-US]mmm")</f>
        <v>Jun</v>
      </c>
    </row>
    <row r="744" spans="1:10" x14ac:dyDescent="0.3">
      <c r="A744" t="s">
        <v>789</v>
      </c>
      <c r="B744" s="2">
        <v>45470</v>
      </c>
      <c r="C744" t="s">
        <v>1275</v>
      </c>
      <c r="D744" t="s">
        <v>1289</v>
      </c>
      <c r="E744">
        <v>7</v>
      </c>
      <c r="F744" s="3">
        <v>887</v>
      </c>
      <c r="G744" s="3">
        <v>6209</v>
      </c>
      <c r="H744" t="s">
        <v>1316</v>
      </c>
      <c r="I744">
        <f>MONTH(Table1_1[[#This Row],[Order Date]])</f>
        <v>6</v>
      </c>
      <c r="J744" t="str">
        <f>TEXT(Table1_1[[#This Row],[Order Date]],"[$-en-US]mmm")</f>
        <v>Jun</v>
      </c>
    </row>
    <row r="745" spans="1:10" x14ac:dyDescent="0.3">
      <c r="A745" t="s">
        <v>790</v>
      </c>
      <c r="B745" s="2">
        <v>45446</v>
      </c>
      <c r="C745" t="s">
        <v>1277</v>
      </c>
      <c r="D745" t="s">
        <v>1289</v>
      </c>
      <c r="E745">
        <v>4</v>
      </c>
      <c r="F745" s="3">
        <v>492</v>
      </c>
      <c r="G745" s="3">
        <v>1968</v>
      </c>
      <c r="H745" t="s">
        <v>1316</v>
      </c>
      <c r="I745">
        <f>MONTH(Table1_1[[#This Row],[Order Date]])</f>
        <v>6</v>
      </c>
      <c r="J745" t="str">
        <f>TEXT(Table1_1[[#This Row],[Order Date]],"[$-en-US]mmm")</f>
        <v>Jun</v>
      </c>
    </row>
    <row r="746" spans="1:10" x14ac:dyDescent="0.3">
      <c r="A746" t="s">
        <v>791</v>
      </c>
      <c r="B746" s="2">
        <v>45631</v>
      </c>
      <c r="C746" t="s">
        <v>1273</v>
      </c>
      <c r="D746" t="s">
        <v>1289</v>
      </c>
      <c r="E746">
        <v>1</v>
      </c>
      <c r="F746" s="3">
        <v>538</v>
      </c>
      <c r="G746" s="3">
        <v>538</v>
      </c>
      <c r="H746" t="s">
        <v>1315</v>
      </c>
      <c r="I746">
        <f>MONTH(Table1_1[[#This Row],[Order Date]])</f>
        <v>12</v>
      </c>
      <c r="J746" t="str">
        <f>TEXT(Table1_1[[#This Row],[Order Date]],"[$-en-US]mmm")</f>
        <v>Dec</v>
      </c>
    </row>
    <row r="747" spans="1:10" x14ac:dyDescent="0.3">
      <c r="A747" t="s">
        <v>792</v>
      </c>
      <c r="B747" s="2">
        <v>45347</v>
      </c>
      <c r="C747" t="s">
        <v>1277</v>
      </c>
      <c r="D747" t="s">
        <v>1289</v>
      </c>
      <c r="E747">
        <v>5</v>
      </c>
      <c r="F747" s="3">
        <v>715</v>
      </c>
      <c r="G747" s="3">
        <v>3575</v>
      </c>
      <c r="H747" t="s">
        <v>1316</v>
      </c>
      <c r="I747">
        <f>MONTH(Table1_1[[#This Row],[Order Date]])</f>
        <v>2</v>
      </c>
      <c r="J747" t="str">
        <f>TEXT(Table1_1[[#This Row],[Order Date]],"[$-en-US]mmm")</f>
        <v>Feb</v>
      </c>
    </row>
    <row r="748" spans="1:10" x14ac:dyDescent="0.3">
      <c r="A748" t="s">
        <v>793</v>
      </c>
      <c r="B748" s="2">
        <v>45619</v>
      </c>
      <c r="C748" t="s">
        <v>1273</v>
      </c>
      <c r="D748" t="s">
        <v>1289</v>
      </c>
      <c r="E748">
        <v>6</v>
      </c>
      <c r="F748" s="3">
        <v>298</v>
      </c>
      <c r="G748" s="3">
        <v>1788</v>
      </c>
      <c r="H748" t="s">
        <v>1315</v>
      </c>
      <c r="I748">
        <f>MONTH(Table1_1[[#This Row],[Order Date]])</f>
        <v>11</v>
      </c>
      <c r="J748" t="str">
        <f>TEXT(Table1_1[[#This Row],[Order Date]],"[$-en-US]mmm")</f>
        <v>Nov</v>
      </c>
    </row>
    <row r="749" spans="1:10" x14ac:dyDescent="0.3">
      <c r="A749" t="s">
        <v>794</v>
      </c>
      <c r="B749" s="2">
        <v>45656</v>
      </c>
      <c r="C749" t="s">
        <v>1277</v>
      </c>
      <c r="D749" t="s">
        <v>1289</v>
      </c>
      <c r="E749">
        <v>5</v>
      </c>
      <c r="F749" s="3">
        <v>686</v>
      </c>
      <c r="G749" s="3">
        <v>3430</v>
      </c>
      <c r="H749" t="s">
        <v>1315</v>
      </c>
      <c r="I749">
        <f>MONTH(Table1_1[[#This Row],[Order Date]])</f>
        <v>12</v>
      </c>
      <c r="J749" t="str">
        <f>TEXT(Table1_1[[#This Row],[Order Date]],"[$-en-US]mmm")</f>
        <v>Dec</v>
      </c>
    </row>
    <row r="750" spans="1:10" x14ac:dyDescent="0.3">
      <c r="A750" t="s">
        <v>795</v>
      </c>
      <c r="B750" s="2">
        <v>45415</v>
      </c>
      <c r="C750" t="s">
        <v>1274</v>
      </c>
      <c r="D750" t="s">
        <v>1290</v>
      </c>
      <c r="E750">
        <v>3</v>
      </c>
      <c r="F750" s="3">
        <v>544</v>
      </c>
      <c r="G750" s="3">
        <v>1632</v>
      </c>
      <c r="H750" t="s">
        <v>1314</v>
      </c>
      <c r="I750">
        <f>MONTH(Table1_1[[#This Row],[Order Date]])</f>
        <v>5</v>
      </c>
      <c r="J750" t="str">
        <f>TEXT(Table1_1[[#This Row],[Order Date]],"[$-en-US]mmm")</f>
        <v>May</v>
      </c>
    </row>
    <row r="751" spans="1:10" x14ac:dyDescent="0.3">
      <c r="A751" t="s">
        <v>796</v>
      </c>
      <c r="B751" s="2">
        <v>45363</v>
      </c>
      <c r="C751" t="s">
        <v>1275</v>
      </c>
      <c r="D751" t="s">
        <v>1289</v>
      </c>
      <c r="E751">
        <v>6</v>
      </c>
      <c r="F751" s="3">
        <v>712</v>
      </c>
      <c r="G751" s="3">
        <v>4272</v>
      </c>
      <c r="H751" t="s">
        <v>1314</v>
      </c>
      <c r="I751">
        <f>MONTH(Table1_1[[#This Row],[Order Date]])</f>
        <v>3</v>
      </c>
      <c r="J751" t="str">
        <f>TEXT(Table1_1[[#This Row],[Order Date]],"[$-en-US]mmm")</f>
        <v>Mar</v>
      </c>
    </row>
    <row r="752" spans="1:10" x14ac:dyDescent="0.3">
      <c r="A752" t="s">
        <v>797</v>
      </c>
      <c r="B752" s="2">
        <v>45506</v>
      </c>
      <c r="C752" t="s">
        <v>1282</v>
      </c>
      <c r="D752" t="s">
        <v>1290</v>
      </c>
      <c r="E752">
        <v>5</v>
      </c>
      <c r="F752" s="3">
        <v>280</v>
      </c>
      <c r="G752" s="3">
        <v>1400</v>
      </c>
      <c r="H752" t="s">
        <v>1316</v>
      </c>
      <c r="I752">
        <f>MONTH(Table1_1[[#This Row],[Order Date]])</f>
        <v>8</v>
      </c>
      <c r="J752" t="str">
        <f>TEXT(Table1_1[[#This Row],[Order Date]],"[$-en-US]mmm")</f>
        <v>Aug</v>
      </c>
    </row>
    <row r="753" spans="1:10" x14ac:dyDescent="0.3">
      <c r="A753" t="s">
        <v>798</v>
      </c>
      <c r="B753" s="2">
        <v>45654</v>
      </c>
      <c r="C753" t="s">
        <v>1275</v>
      </c>
      <c r="D753" t="s">
        <v>1289</v>
      </c>
      <c r="E753">
        <v>1</v>
      </c>
      <c r="F753" s="3">
        <v>612</v>
      </c>
      <c r="G753" s="3">
        <v>612</v>
      </c>
      <c r="H753" t="s">
        <v>1313</v>
      </c>
      <c r="I753">
        <f>MONTH(Table1_1[[#This Row],[Order Date]])</f>
        <v>12</v>
      </c>
      <c r="J753" t="str">
        <f>TEXT(Table1_1[[#This Row],[Order Date]],"[$-en-US]mmm")</f>
        <v>Dec</v>
      </c>
    </row>
    <row r="754" spans="1:10" x14ac:dyDescent="0.3">
      <c r="A754" t="s">
        <v>799</v>
      </c>
      <c r="B754" s="2">
        <v>45565</v>
      </c>
      <c r="C754" t="s">
        <v>1280</v>
      </c>
      <c r="D754" t="s">
        <v>1290</v>
      </c>
      <c r="E754">
        <v>4</v>
      </c>
      <c r="F754" s="3">
        <v>717</v>
      </c>
      <c r="G754" s="3">
        <v>2868</v>
      </c>
      <c r="H754" t="s">
        <v>1316</v>
      </c>
      <c r="I754">
        <f>MONTH(Table1_1[[#This Row],[Order Date]])</f>
        <v>9</v>
      </c>
      <c r="J754" t="str">
        <f>TEXT(Table1_1[[#This Row],[Order Date]],"[$-en-US]mmm")</f>
        <v>Sep</v>
      </c>
    </row>
    <row r="755" spans="1:10" x14ac:dyDescent="0.3">
      <c r="A755" t="s">
        <v>800</v>
      </c>
      <c r="B755" s="2">
        <v>45379</v>
      </c>
      <c r="C755" t="s">
        <v>1280</v>
      </c>
      <c r="D755" t="s">
        <v>1290</v>
      </c>
      <c r="E755">
        <v>9</v>
      </c>
      <c r="F755" s="3">
        <v>322</v>
      </c>
      <c r="G755" s="3">
        <v>2898</v>
      </c>
      <c r="H755" t="s">
        <v>1313</v>
      </c>
      <c r="I755">
        <f>MONTH(Table1_1[[#This Row],[Order Date]])</f>
        <v>3</v>
      </c>
      <c r="J755" t="str">
        <f>TEXT(Table1_1[[#This Row],[Order Date]],"[$-en-US]mmm")</f>
        <v>Mar</v>
      </c>
    </row>
    <row r="756" spans="1:10" x14ac:dyDescent="0.3">
      <c r="A756" t="s">
        <v>801</v>
      </c>
      <c r="B756" s="2">
        <v>45357</v>
      </c>
      <c r="C756" t="s">
        <v>1277</v>
      </c>
      <c r="D756" t="s">
        <v>1289</v>
      </c>
      <c r="E756">
        <v>2</v>
      </c>
      <c r="F756" s="3">
        <v>497</v>
      </c>
      <c r="G756" s="3">
        <v>994</v>
      </c>
      <c r="H756" t="s">
        <v>1315</v>
      </c>
      <c r="I756">
        <f>MONTH(Table1_1[[#This Row],[Order Date]])</f>
        <v>3</v>
      </c>
      <c r="J756" t="str">
        <f>TEXT(Table1_1[[#This Row],[Order Date]],"[$-en-US]mmm")</f>
        <v>Mar</v>
      </c>
    </row>
    <row r="757" spans="1:10" x14ac:dyDescent="0.3">
      <c r="A757" t="s">
        <v>802</v>
      </c>
      <c r="B757" s="2">
        <v>45337</v>
      </c>
      <c r="C757" t="s">
        <v>1279</v>
      </c>
      <c r="D757" t="s">
        <v>1289</v>
      </c>
      <c r="E757">
        <v>6</v>
      </c>
      <c r="F757" s="3">
        <v>685</v>
      </c>
      <c r="G757" s="3">
        <v>4110</v>
      </c>
      <c r="H757" t="s">
        <v>1313</v>
      </c>
      <c r="I757">
        <f>MONTH(Table1_1[[#This Row],[Order Date]])</f>
        <v>2</v>
      </c>
      <c r="J757" t="str">
        <f>TEXT(Table1_1[[#This Row],[Order Date]],"[$-en-US]mmm")</f>
        <v>Feb</v>
      </c>
    </row>
    <row r="758" spans="1:10" x14ac:dyDescent="0.3">
      <c r="A758" t="s">
        <v>803</v>
      </c>
      <c r="B758" s="2">
        <v>45449</v>
      </c>
      <c r="C758" t="s">
        <v>1280</v>
      </c>
      <c r="D758" t="s">
        <v>1290</v>
      </c>
      <c r="E758">
        <v>4</v>
      </c>
      <c r="F758" s="3">
        <v>777</v>
      </c>
      <c r="G758" s="3">
        <v>3108</v>
      </c>
      <c r="H758" t="s">
        <v>1316</v>
      </c>
      <c r="I758">
        <f>MONTH(Table1_1[[#This Row],[Order Date]])</f>
        <v>6</v>
      </c>
      <c r="J758" t="str">
        <f>TEXT(Table1_1[[#This Row],[Order Date]],"[$-en-US]mmm")</f>
        <v>Jun</v>
      </c>
    </row>
    <row r="759" spans="1:10" x14ac:dyDescent="0.3">
      <c r="A759" t="s">
        <v>804</v>
      </c>
      <c r="B759" s="2">
        <v>45591</v>
      </c>
      <c r="C759" t="s">
        <v>1280</v>
      </c>
      <c r="D759" t="s">
        <v>1290</v>
      </c>
      <c r="E759">
        <v>6</v>
      </c>
      <c r="F759" s="3">
        <v>281</v>
      </c>
      <c r="G759" s="3">
        <v>1686</v>
      </c>
      <c r="H759" t="s">
        <v>1315</v>
      </c>
      <c r="I759">
        <f>MONTH(Table1_1[[#This Row],[Order Date]])</f>
        <v>10</v>
      </c>
      <c r="J759" t="str">
        <f>TEXT(Table1_1[[#This Row],[Order Date]],"[$-en-US]mmm")</f>
        <v>Oct</v>
      </c>
    </row>
    <row r="760" spans="1:10" x14ac:dyDescent="0.3">
      <c r="A760" t="s">
        <v>805</v>
      </c>
      <c r="B760" s="2">
        <v>45319</v>
      </c>
      <c r="C760" t="s">
        <v>1282</v>
      </c>
      <c r="D760" t="s">
        <v>1290</v>
      </c>
      <c r="E760">
        <v>2</v>
      </c>
      <c r="F760" s="3">
        <v>496</v>
      </c>
      <c r="G760" s="3">
        <v>992</v>
      </c>
      <c r="H760" t="s">
        <v>1314</v>
      </c>
      <c r="I760">
        <f>MONTH(Table1_1[[#This Row],[Order Date]])</f>
        <v>1</v>
      </c>
      <c r="J760" t="str">
        <f>TEXT(Table1_1[[#This Row],[Order Date]],"[$-en-US]mmm")</f>
        <v>Jan</v>
      </c>
    </row>
    <row r="761" spans="1:10" x14ac:dyDescent="0.3">
      <c r="A761" t="s">
        <v>806</v>
      </c>
      <c r="B761" s="2">
        <v>45353</v>
      </c>
      <c r="C761" t="s">
        <v>1282</v>
      </c>
      <c r="D761" t="s">
        <v>1290</v>
      </c>
      <c r="E761">
        <v>4</v>
      </c>
      <c r="F761" s="3">
        <v>527</v>
      </c>
      <c r="G761" s="3">
        <v>2108</v>
      </c>
      <c r="H761" t="s">
        <v>1316</v>
      </c>
      <c r="I761">
        <f>MONTH(Table1_1[[#This Row],[Order Date]])</f>
        <v>3</v>
      </c>
      <c r="J761" t="str">
        <f>TEXT(Table1_1[[#This Row],[Order Date]],"[$-en-US]mmm")</f>
        <v>Mar</v>
      </c>
    </row>
    <row r="762" spans="1:10" x14ac:dyDescent="0.3">
      <c r="A762" t="s">
        <v>807</v>
      </c>
      <c r="B762" s="2">
        <v>45369</v>
      </c>
      <c r="C762" t="s">
        <v>1277</v>
      </c>
      <c r="D762" t="s">
        <v>1289</v>
      </c>
      <c r="E762">
        <v>7</v>
      </c>
      <c r="F762" s="3">
        <v>70</v>
      </c>
      <c r="G762" s="3">
        <v>490</v>
      </c>
      <c r="H762" t="s">
        <v>1313</v>
      </c>
      <c r="I762">
        <f>MONTH(Table1_1[[#This Row],[Order Date]])</f>
        <v>3</v>
      </c>
      <c r="J762" t="str">
        <f>TEXT(Table1_1[[#This Row],[Order Date]],"[$-en-US]mmm")</f>
        <v>Mar</v>
      </c>
    </row>
    <row r="763" spans="1:10" x14ac:dyDescent="0.3">
      <c r="A763" t="s">
        <v>808</v>
      </c>
      <c r="B763" s="2">
        <v>45583</v>
      </c>
      <c r="C763" t="s">
        <v>1274</v>
      </c>
      <c r="D763" t="s">
        <v>1290</v>
      </c>
      <c r="E763">
        <v>6</v>
      </c>
      <c r="F763" s="3">
        <v>434</v>
      </c>
      <c r="G763" s="3">
        <v>2604</v>
      </c>
      <c r="H763" t="s">
        <v>1316</v>
      </c>
      <c r="I763">
        <f>MONTH(Table1_1[[#This Row],[Order Date]])</f>
        <v>10</v>
      </c>
      <c r="J763" t="str">
        <f>TEXT(Table1_1[[#This Row],[Order Date]],"[$-en-US]mmm")</f>
        <v>Oct</v>
      </c>
    </row>
    <row r="764" spans="1:10" x14ac:dyDescent="0.3">
      <c r="A764" t="s">
        <v>809</v>
      </c>
      <c r="B764" s="2">
        <v>45384</v>
      </c>
      <c r="C764" t="s">
        <v>1279</v>
      </c>
      <c r="D764" t="s">
        <v>1289</v>
      </c>
      <c r="E764">
        <v>6</v>
      </c>
      <c r="F764" s="3">
        <v>898</v>
      </c>
      <c r="G764" s="3">
        <v>5388</v>
      </c>
      <c r="H764" t="s">
        <v>1314</v>
      </c>
      <c r="I764">
        <f>MONTH(Table1_1[[#This Row],[Order Date]])</f>
        <v>4</v>
      </c>
      <c r="J764" t="str">
        <f>TEXT(Table1_1[[#This Row],[Order Date]],"[$-en-US]mmm")</f>
        <v>Apr</v>
      </c>
    </row>
    <row r="765" spans="1:10" x14ac:dyDescent="0.3">
      <c r="A765" t="s">
        <v>810</v>
      </c>
      <c r="B765" s="2">
        <v>45382</v>
      </c>
      <c r="C765" t="s">
        <v>1282</v>
      </c>
      <c r="D765" t="s">
        <v>1290</v>
      </c>
      <c r="E765">
        <v>6</v>
      </c>
      <c r="F765" s="3">
        <v>661</v>
      </c>
      <c r="G765" s="3">
        <v>3966</v>
      </c>
      <c r="H765" t="s">
        <v>1315</v>
      </c>
      <c r="I765">
        <f>MONTH(Table1_1[[#This Row],[Order Date]])</f>
        <v>3</v>
      </c>
      <c r="J765" t="str">
        <f>TEXT(Table1_1[[#This Row],[Order Date]],"[$-en-US]mmm")</f>
        <v>Mar</v>
      </c>
    </row>
    <row r="766" spans="1:10" x14ac:dyDescent="0.3">
      <c r="A766" t="s">
        <v>811</v>
      </c>
      <c r="B766" s="2">
        <v>45432</v>
      </c>
      <c r="C766" t="s">
        <v>1276</v>
      </c>
      <c r="D766" t="s">
        <v>1290</v>
      </c>
      <c r="E766">
        <v>1</v>
      </c>
      <c r="F766" s="3">
        <v>477</v>
      </c>
      <c r="G766" s="3">
        <v>477</v>
      </c>
      <c r="H766" t="s">
        <v>1313</v>
      </c>
      <c r="I766">
        <f>MONTH(Table1_1[[#This Row],[Order Date]])</f>
        <v>5</v>
      </c>
      <c r="J766" t="str">
        <f>TEXT(Table1_1[[#This Row],[Order Date]],"[$-en-US]mmm")</f>
        <v>May</v>
      </c>
    </row>
    <row r="767" spans="1:10" x14ac:dyDescent="0.3">
      <c r="A767" t="s">
        <v>812</v>
      </c>
      <c r="B767" s="2">
        <v>45373</v>
      </c>
      <c r="C767" t="s">
        <v>1279</v>
      </c>
      <c r="D767" t="s">
        <v>1289</v>
      </c>
      <c r="E767">
        <v>10</v>
      </c>
      <c r="F767" s="3">
        <v>797</v>
      </c>
      <c r="G767" s="3">
        <v>7970</v>
      </c>
      <c r="H767" t="s">
        <v>1316</v>
      </c>
      <c r="I767">
        <f>MONTH(Table1_1[[#This Row],[Order Date]])</f>
        <v>3</v>
      </c>
      <c r="J767" t="str">
        <f>TEXT(Table1_1[[#This Row],[Order Date]],"[$-en-US]mmm")</f>
        <v>Mar</v>
      </c>
    </row>
    <row r="768" spans="1:10" x14ac:dyDescent="0.3">
      <c r="A768" t="s">
        <v>813</v>
      </c>
      <c r="B768" s="2">
        <v>45514</v>
      </c>
      <c r="C768" t="s">
        <v>1273</v>
      </c>
      <c r="D768" t="s">
        <v>1289</v>
      </c>
      <c r="E768">
        <v>3</v>
      </c>
      <c r="F768" s="3">
        <v>644</v>
      </c>
      <c r="G768" s="3">
        <v>1932</v>
      </c>
      <c r="H768" t="s">
        <v>1316</v>
      </c>
      <c r="I768">
        <f>MONTH(Table1_1[[#This Row],[Order Date]])</f>
        <v>8</v>
      </c>
      <c r="J768" t="str">
        <f>TEXT(Table1_1[[#This Row],[Order Date]],"[$-en-US]mmm")</f>
        <v>Aug</v>
      </c>
    </row>
    <row r="769" spans="1:10" x14ac:dyDescent="0.3">
      <c r="A769" t="s">
        <v>814</v>
      </c>
      <c r="B769" s="2">
        <v>45488</v>
      </c>
      <c r="C769" t="s">
        <v>1275</v>
      </c>
      <c r="D769" t="s">
        <v>1289</v>
      </c>
      <c r="E769">
        <v>7</v>
      </c>
      <c r="F769" s="3">
        <v>503</v>
      </c>
      <c r="G769" s="3">
        <v>3521</v>
      </c>
      <c r="H769" t="s">
        <v>1314</v>
      </c>
      <c r="I769">
        <f>MONTH(Table1_1[[#This Row],[Order Date]])</f>
        <v>7</v>
      </c>
      <c r="J769" t="str">
        <f>TEXT(Table1_1[[#This Row],[Order Date]],"[$-en-US]mmm")</f>
        <v>Jul</v>
      </c>
    </row>
    <row r="770" spans="1:10" x14ac:dyDescent="0.3">
      <c r="A770" t="s">
        <v>815</v>
      </c>
      <c r="B770" s="2">
        <v>45483</v>
      </c>
      <c r="C770" t="s">
        <v>1276</v>
      </c>
      <c r="D770" t="s">
        <v>1290</v>
      </c>
      <c r="E770">
        <v>9</v>
      </c>
      <c r="F770" s="3">
        <v>219</v>
      </c>
      <c r="G770" s="3">
        <v>1971</v>
      </c>
      <c r="H770" t="s">
        <v>1314</v>
      </c>
      <c r="I770">
        <f>MONTH(Table1_1[[#This Row],[Order Date]])</f>
        <v>7</v>
      </c>
      <c r="J770" t="str">
        <f>TEXT(Table1_1[[#This Row],[Order Date]],"[$-en-US]mmm")</f>
        <v>Jul</v>
      </c>
    </row>
    <row r="771" spans="1:10" x14ac:dyDescent="0.3">
      <c r="A771" t="s">
        <v>816</v>
      </c>
      <c r="B771" s="2">
        <v>45301</v>
      </c>
      <c r="C771" t="s">
        <v>1280</v>
      </c>
      <c r="D771" t="s">
        <v>1290</v>
      </c>
      <c r="E771">
        <v>9</v>
      </c>
      <c r="F771" s="3">
        <v>210</v>
      </c>
      <c r="G771" s="3">
        <v>1890</v>
      </c>
      <c r="H771" t="s">
        <v>1314</v>
      </c>
      <c r="I771">
        <f>MONTH(Table1_1[[#This Row],[Order Date]])</f>
        <v>1</v>
      </c>
      <c r="J771" t="str">
        <f>TEXT(Table1_1[[#This Row],[Order Date]],"[$-en-US]mmm")</f>
        <v>Jan</v>
      </c>
    </row>
    <row r="772" spans="1:10" x14ac:dyDescent="0.3">
      <c r="A772" t="s">
        <v>817</v>
      </c>
      <c r="B772" s="2">
        <v>45468</v>
      </c>
      <c r="C772" t="s">
        <v>1274</v>
      </c>
      <c r="D772" t="s">
        <v>1290</v>
      </c>
      <c r="E772">
        <v>4</v>
      </c>
      <c r="F772" s="3">
        <v>725</v>
      </c>
      <c r="G772" s="3">
        <v>2900</v>
      </c>
      <c r="H772" t="s">
        <v>1315</v>
      </c>
      <c r="I772">
        <f>MONTH(Table1_1[[#This Row],[Order Date]])</f>
        <v>6</v>
      </c>
      <c r="J772" t="str">
        <f>TEXT(Table1_1[[#This Row],[Order Date]],"[$-en-US]mmm")</f>
        <v>Jun</v>
      </c>
    </row>
    <row r="773" spans="1:10" x14ac:dyDescent="0.3">
      <c r="A773" t="s">
        <v>818</v>
      </c>
      <c r="B773" s="2">
        <v>45549</v>
      </c>
      <c r="C773" t="s">
        <v>1279</v>
      </c>
      <c r="D773" t="s">
        <v>1289</v>
      </c>
      <c r="E773">
        <v>2</v>
      </c>
      <c r="F773" s="3">
        <v>407</v>
      </c>
      <c r="G773" s="3">
        <v>814</v>
      </c>
      <c r="H773" t="s">
        <v>1315</v>
      </c>
      <c r="I773">
        <f>MONTH(Table1_1[[#This Row],[Order Date]])</f>
        <v>9</v>
      </c>
      <c r="J773" t="str">
        <f>TEXT(Table1_1[[#This Row],[Order Date]],"[$-en-US]mmm")</f>
        <v>Sep</v>
      </c>
    </row>
    <row r="774" spans="1:10" x14ac:dyDescent="0.3">
      <c r="A774" t="s">
        <v>819</v>
      </c>
      <c r="B774" s="2">
        <v>45315</v>
      </c>
      <c r="C774" t="s">
        <v>1279</v>
      </c>
      <c r="D774" t="s">
        <v>1289</v>
      </c>
      <c r="E774">
        <v>2</v>
      </c>
      <c r="F774" s="3">
        <v>858</v>
      </c>
      <c r="G774" s="3">
        <v>1716</v>
      </c>
      <c r="H774" t="s">
        <v>1315</v>
      </c>
      <c r="I774">
        <f>MONTH(Table1_1[[#This Row],[Order Date]])</f>
        <v>1</v>
      </c>
      <c r="J774" t="str">
        <f>TEXT(Table1_1[[#This Row],[Order Date]],"[$-en-US]mmm")</f>
        <v>Jan</v>
      </c>
    </row>
    <row r="775" spans="1:10" x14ac:dyDescent="0.3">
      <c r="A775" t="s">
        <v>820</v>
      </c>
      <c r="B775" s="2">
        <v>45558</v>
      </c>
      <c r="C775" t="s">
        <v>1277</v>
      </c>
      <c r="D775" t="s">
        <v>1289</v>
      </c>
      <c r="E775">
        <v>8</v>
      </c>
      <c r="F775" s="3">
        <v>760</v>
      </c>
      <c r="G775" s="3">
        <v>6080</v>
      </c>
      <c r="H775" t="s">
        <v>1315</v>
      </c>
      <c r="I775">
        <f>MONTH(Table1_1[[#This Row],[Order Date]])</f>
        <v>9</v>
      </c>
      <c r="J775" t="str">
        <f>TEXT(Table1_1[[#This Row],[Order Date]],"[$-en-US]mmm")</f>
        <v>Sep</v>
      </c>
    </row>
    <row r="776" spans="1:10" x14ac:dyDescent="0.3">
      <c r="A776" t="s">
        <v>821</v>
      </c>
      <c r="B776" s="2">
        <v>45542</v>
      </c>
      <c r="C776" t="s">
        <v>1275</v>
      </c>
      <c r="D776" t="s">
        <v>1289</v>
      </c>
      <c r="E776">
        <v>3</v>
      </c>
      <c r="F776" s="3">
        <v>365</v>
      </c>
      <c r="G776" s="3">
        <v>1095</v>
      </c>
      <c r="H776" t="s">
        <v>1315</v>
      </c>
      <c r="I776">
        <f>MONTH(Table1_1[[#This Row],[Order Date]])</f>
        <v>9</v>
      </c>
      <c r="J776" t="str">
        <f>TEXT(Table1_1[[#This Row],[Order Date]],"[$-en-US]mmm")</f>
        <v>Sep</v>
      </c>
    </row>
    <row r="777" spans="1:10" x14ac:dyDescent="0.3">
      <c r="A777" t="s">
        <v>822</v>
      </c>
      <c r="B777" s="2">
        <v>45498</v>
      </c>
      <c r="C777" t="s">
        <v>1274</v>
      </c>
      <c r="D777" t="s">
        <v>1290</v>
      </c>
      <c r="E777">
        <v>3</v>
      </c>
      <c r="F777" s="3">
        <v>846</v>
      </c>
      <c r="G777" s="3">
        <v>2538</v>
      </c>
      <c r="H777" t="s">
        <v>1314</v>
      </c>
      <c r="I777">
        <f>MONTH(Table1_1[[#This Row],[Order Date]])</f>
        <v>7</v>
      </c>
      <c r="J777" t="str">
        <f>TEXT(Table1_1[[#This Row],[Order Date]],"[$-en-US]mmm")</f>
        <v>Jul</v>
      </c>
    </row>
    <row r="778" spans="1:10" x14ac:dyDescent="0.3">
      <c r="A778" t="s">
        <v>823</v>
      </c>
      <c r="B778" s="2">
        <v>45359</v>
      </c>
      <c r="C778" t="s">
        <v>1274</v>
      </c>
      <c r="D778" t="s">
        <v>1290</v>
      </c>
      <c r="E778">
        <v>4</v>
      </c>
      <c r="F778" s="3">
        <v>759</v>
      </c>
      <c r="G778" s="3">
        <v>3036</v>
      </c>
      <c r="H778" t="s">
        <v>1313</v>
      </c>
      <c r="I778">
        <f>MONTH(Table1_1[[#This Row],[Order Date]])</f>
        <v>3</v>
      </c>
      <c r="J778" t="str">
        <f>TEXT(Table1_1[[#This Row],[Order Date]],"[$-en-US]mmm")</f>
        <v>Mar</v>
      </c>
    </row>
    <row r="779" spans="1:10" x14ac:dyDescent="0.3">
      <c r="A779" t="s">
        <v>824</v>
      </c>
      <c r="B779" s="2">
        <v>45378</v>
      </c>
      <c r="C779" t="s">
        <v>1276</v>
      </c>
      <c r="D779" t="s">
        <v>1290</v>
      </c>
      <c r="E779">
        <v>10</v>
      </c>
      <c r="F779" s="3">
        <v>531</v>
      </c>
      <c r="G779" s="3">
        <v>5310</v>
      </c>
      <c r="H779" t="s">
        <v>1314</v>
      </c>
      <c r="I779">
        <f>MONTH(Table1_1[[#This Row],[Order Date]])</f>
        <v>3</v>
      </c>
      <c r="J779" t="str">
        <f>TEXT(Table1_1[[#This Row],[Order Date]],"[$-en-US]mmm")</f>
        <v>Mar</v>
      </c>
    </row>
    <row r="780" spans="1:10" x14ac:dyDescent="0.3">
      <c r="A780" t="s">
        <v>825</v>
      </c>
      <c r="B780" s="2">
        <v>45619</v>
      </c>
      <c r="C780" t="s">
        <v>1280</v>
      </c>
      <c r="D780" t="s">
        <v>1290</v>
      </c>
      <c r="E780">
        <v>1</v>
      </c>
      <c r="F780" s="3">
        <v>399</v>
      </c>
      <c r="G780" s="3">
        <v>399</v>
      </c>
      <c r="H780" t="s">
        <v>1315</v>
      </c>
      <c r="I780">
        <f>MONTH(Table1_1[[#This Row],[Order Date]])</f>
        <v>11</v>
      </c>
      <c r="J780" t="str">
        <f>TEXT(Table1_1[[#This Row],[Order Date]],"[$-en-US]mmm")</f>
        <v>Nov</v>
      </c>
    </row>
    <row r="781" spans="1:10" x14ac:dyDescent="0.3">
      <c r="A781" t="s">
        <v>827</v>
      </c>
      <c r="B781" s="2">
        <v>45351</v>
      </c>
      <c r="C781" t="s">
        <v>1276</v>
      </c>
      <c r="D781" t="s">
        <v>1290</v>
      </c>
      <c r="E781">
        <v>1</v>
      </c>
      <c r="F781" s="3">
        <v>721</v>
      </c>
      <c r="G781" s="3">
        <v>721</v>
      </c>
      <c r="H781" t="s">
        <v>1316</v>
      </c>
      <c r="I781">
        <f>MONTH(Table1_1[[#This Row],[Order Date]])</f>
        <v>2</v>
      </c>
      <c r="J781" t="str">
        <f>TEXT(Table1_1[[#This Row],[Order Date]],"[$-en-US]mmm")</f>
        <v>Feb</v>
      </c>
    </row>
    <row r="782" spans="1:10" x14ac:dyDescent="0.3">
      <c r="A782" t="s">
        <v>828</v>
      </c>
      <c r="B782" s="2">
        <v>45572</v>
      </c>
      <c r="C782" t="s">
        <v>1282</v>
      </c>
      <c r="D782" t="s">
        <v>1290</v>
      </c>
      <c r="E782">
        <v>7</v>
      </c>
      <c r="F782" s="3">
        <v>141</v>
      </c>
      <c r="G782" s="3">
        <v>987</v>
      </c>
      <c r="H782" t="s">
        <v>1315</v>
      </c>
      <c r="I782">
        <f>MONTH(Table1_1[[#This Row],[Order Date]])</f>
        <v>10</v>
      </c>
      <c r="J782" t="str">
        <f>TEXT(Table1_1[[#This Row],[Order Date]],"[$-en-US]mmm")</f>
        <v>Oct</v>
      </c>
    </row>
    <row r="783" spans="1:10" x14ac:dyDescent="0.3">
      <c r="A783" t="s">
        <v>829</v>
      </c>
      <c r="B783" s="2">
        <v>45647</v>
      </c>
      <c r="C783" t="s">
        <v>1282</v>
      </c>
      <c r="D783" t="s">
        <v>1290</v>
      </c>
      <c r="E783">
        <v>3</v>
      </c>
      <c r="F783" s="3">
        <v>225</v>
      </c>
      <c r="G783" s="3">
        <v>675</v>
      </c>
      <c r="H783" t="s">
        <v>1314</v>
      </c>
      <c r="I783">
        <f>MONTH(Table1_1[[#This Row],[Order Date]])</f>
        <v>12</v>
      </c>
      <c r="J783" t="str">
        <f>TEXT(Table1_1[[#This Row],[Order Date]],"[$-en-US]mmm")</f>
        <v>Dec</v>
      </c>
    </row>
    <row r="784" spans="1:10" x14ac:dyDescent="0.3">
      <c r="A784" t="s">
        <v>830</v>
      </c>
      <c r="B784" s="2">
        <v>45343</v>
      </c>
      <c r="C784" t="s">
        <v>1277</v>
      </c>
      <c r="D784" t="s">
        <v>1289</v>
      </c>
      <c r="E784">
        <v>7</v>
      </c>
      <c r="F784" s="3">
        <v>692</v>
      </c>
      <c r="G784" s="3">
        <v>4844</v>
      </c>
      <c r="H784" t="s">
        <v>1315</v>
      </c>
      <c r="I784">
        <f>MONTH(Table1_1[[#This Row],[Order Date]])</f>
        <v>2</v>
      </c>
      <c r="J784" t="str">
        <f>TEXT(Table1_1[[#This Row],[Order Date]],"[$-en-US]mmm")</f>
        <v>Feb</v>
      </c>
    </row>
    <row r="785" spans="1:10" x14ac:dyDescent="0.3">
      <c r="A785" t="s">
        <v>831</v>
      </c>
      <c r="B785" s="2">
        <v>45345</v>
      </c>
      <c r="C785" t="s">
        <v>1279</v>
      </c>
      <c r="D785" t="s">
        <v>1289</v>
      </c>
      <c r="E785">
        <v>7</v>
      </c>
      <c r="F785" s="3">
        <v>865</v>
      </c>
      <c r="G785" s="3">
        <v>6055</v>
      </c>
      <c r="H785" t="s">
        <v>1314</v>
      </c>
      <c r="I785">
        <f>MONTH(Table1_1[[#This Row],[Order Date]])</f>
        <v>2</v>
      </c>
      <c r="J785" t="str">
        <f>TEXT(Table1_1[[#This Row],[Order Date]],"[$-en-US]mmm")</f>
        <v>Feb</v>
      </c>
    </row>
    <row r="786" spans="1:10" x14ac:dyDescent="0.3">
      <c r="A786" t="s">
        <v>832</v>
      </c>
      <c r="B786" s="2">
        <v>45346</v>
      </c>
      <c r="C786" t="s">
        <v>1277</v>
      </c>
      <c r="D786" t="s">
        <v>1289</v>
      </c>
      <c r="E786">
        <v>2</v>
      </c>
      <c r="F786" s="3">
        <v>818</v>
      </c>
      <c r="G786" s="3">
        <v>1636</v>
      </c>
      <c r="H786" t="s">
        <v>1316</v>
      </c>
      <c r="I786">
        <f>MONTH(Table1_1[[#This Row],[Order Date]])</f>
        <v>2</v>
      </c>
      <c r="J786" t="str">
        <f>TEXT(Table1_1[[#This Row],[Order Date]],"[$-en-US]mmm")</f>
        <v>Feb</v>
      </c>
    </row>
    <row r="787" spans="1:10" x14ac:dyDescent="0.3">
      <c r="A787" t="s">
        <v>833</v>
      </c>
      <c r="B787" s="2">
        <v>45426</v>
      </c>
      <c r="C787" t="s">
        <v>1274</v>
      </c>
      <c r="D787" t="s">
        <v>1290</v>
      </c>
      <c r="E787">
        <v>10</v>
      </c>
      <c r="F787" s="3">
        <v>219</v>
      </c>
      <c r="G787" s="3">
        <v>2190</v>
      </c>
      <c r="H787" t="s">
        <v>1313</v>
      </c>
      <c r="I787">
        <f>MONTH(Table1_1[[#This Row],[Order Date]])</f>
        <v>5</v>
      </c>
      <c r="J787" t="str">
        <f>TEXT(Table1_1[[#This Row],[Order Date]],"[$-en-US]mmm")</f>
        <v>May</v>
      </c>
    </row>
    <row r="788" spans="1:10" x14ac:dyDescent="0.3">
      <c r="A788" t="s">
        <v>834</v>
      </c>
      <c r="B788" s="2">
        <v>45374</v>
      </c>
      <c r="C788" t="s">
        <v>1280</v>
      </c>
      <c r="D788" t="s">
        <v>1290</v>
      </c>
      <c r="E788">
        <v>7</v>
      </c>
      <c r="F788" s="3">
        <v>317</v>
      </c>
      <c r="G788" s="3">
        <v>2219</v>
      </c>
      <c r="H788" t="s">
        <v>1314</v>
      </c>
      <c r="I788">
        <f>MONTH(Table1_1[[#This Row],[Order Date]])</f>
        <v>3</v>
      </c>
      <c r="J788" t="str">
        <f>TEXT(Table1_1[[#This Row],[Order Date]],"[$-en-US]mmm")</f>
        <v>Mar</v>
      </c>
    </row>
    <row r="789" spans="1:10" x14ac:dyDescent="0.3">
      <c r="A789" t="s">
        <v>835</v>
      </c>
      <c r="B789" s="2">
        <v>45538</v>
      </c>
      <c r="C789" t="s">
        <v>1282</v>
      </c>
      <c r="D789" t="s">
        <v>1290</v>
      </c>
      <c r="E789">
        <v>4</v>
      </c>
      <c r="F789" s="3">
        <v>719</v>
      </c>
      <c r="G789" s="3">
        <v>2876</v>
      </c>
      <c r="H789" t="s">
        <v>1315</v>
      </c>
      <c r="I789">
        <f>MONTH(Table1_1[[#This Row],[Order Date]])</f>
        <v>9</v>
      </c>
      <c r="J789" t="str">
        <f>TEXT(Table1_1[[#This Row],[Order Date]],"[$-en-US]mmm")</f>
        <v>Sep</v>
      </c>
    </row>
    <row r="790" spans="1:10" x14ac:dyDescent="0.3">
      <c r="A790" t="s">
        <v>836</v>
      </c>
      <c r="B790" s="2">
        <v>45635</v>
      </c>
      <c r="C790" t="s">
        <v>1274</v>
      </c>
      <c r="D790" t="s">
        <v>1290</v>
      </c>
      <c r="E790">
        <v>1</v>
      </c>
      <c r="F790" s="3">
        <v>28</v>
      </c>
      <c r="G790" s="3">
        <v>28</v>
      </c>
      <c r="H790" t="s">
        <v>1314</v>
      </c>
      <c r="I790">
        <f>MONTH(Table1_1[[#This Row],[Order Date]])</f>
        <v>12</v>
      </c>
      <c r="J790" t="str">
        <f>TEXT(Table1_1[[#This Row],[Order Date]],"[$-en-US]mmm")</f>
        <v>Dec</v>
      </c>
    </row>
    <row r="791" spans="1:10" x14ac:dyDescent="0.3">
      <c r="A791" t="s">
        <v>837</v>
      </c>
      <c r="B791" s="2">
        <v>45544</v>
      </c>
      <c r="C791" t="s">
        <v>1273</v>
      </c>
      <c r="D791" t="s">
        <v>1289</v>
      </c>
      <c r="E791">
        <v>10</v>
      </c>
      <c r="F791" s="3">
        <v>700</v>
      </c>
      <c r="G791" s="3">
        <v>7000</v>
      </c>
      <c r="H791" t="s">
        <v>1313</v>
      </c>
      <c r="I791">
        <f>MONTH(Table1_1[[#This Row],[Order Date]])</f>
        <v>9</v>
      </c>
      <c r="J791" t="str">
        <f>TEXT(Table1_1[[#This Row],[Order Date]],"[$-en-US]mmm")</f>
        <v>Sep</v>
      </c>
    </row>
    <row r="792" spans="1:10" x14ac:dyDescent="0.3">
      <c r="A792" t="s">
        <v>838</v>
      </c>
      <c r="B792" s="2">
        <v>45343</v>
      </c>
      <c r="C792" t="s">
        <v>1273</v>
      </c>
      <c r="D792" t="s">
        <v>1289</v>
      </c>
      <c r="E792">
        <v>9</v>
      </c>
      <c r="F792" s="3">
        <v>91</v>
      </c>
      <c r="G792" s="3">
        <v>819</v>
      </c>
      <c r="H792" t="s">
        <v>1315</v>
      </c>
      <c r="I792">
        <f>MONTH(Table1_1[[#This Row],[Order Date]])</f>
        <v>2</v>
      </c>
      <c r="J792" t="str">
        <f>TEXT(Table1_1[[#This Row],[Order Date]],"[$-en-US]mmm")</f>
        <v>Feb</v>
      </c>
    </row>
    <row r="793" spans="1:10" x14ac:dyDescent="0.3">
      <c r="A793" t="s">
        <v>839</v>
      </c>
      <c r="B793" s="2">
        <v>45427</v>
      </c>
      <c r="C793" t="s">
        <v>1274</v>
      </c>
      <c r="D793" t="s">
        <v>1290</v>
      </c>
      <c r="E793">
        <v>8</v>
      </c>
      <c r="F793" s="3">
        <v>318</v>
      </c>
      <c r="G793" s="3">
        <v>2544</v>
      </c>
      <c r="H793" t="s">
        <v>1316</v>
      </c>
      <c r="I793">
        <f>MONTH(Table1_1[[#This Row],[Order Date]])</f>
        <v>5</v>
      </c>
      <c r="J793" t="str">
        <f>TEXT(Table1_1[[#This Row],[Order Date]],"[$-en-US]mmm")</f>
        <v>May</v>
      </c>
    </row>
    <row r="794" spans="1:10" x14ac:dyDescent="0.3">
      <c r="A794" t="s">
        <v>840</v>
      </c>
      <c r="B794" s="2">
        <v>45381</v>
      </c>
      <c r="C794" t="s">
        <v>1276</v>
      </c>
      <c r="D794" t="s">
        <v>1290</v>
      </c>
      <c r="E794">
        <v>2</v>
      </c>
      <c r="F794" s="3">
        <v>847</v>
      </c>
      <c r="G794" s="3">
        <v>1694</v>
      </c>
      <c r="H794" t="s">
        <v>1314</v>
      </c>
      <c r="I794">
        <f>MONTH(Table1_1[[#This Row],[Order Date]])</f>
        <v>3</v>
      </c>
      <c r="J794" t="str">
        <f>TEXT(Table1_1[[#This Row],[Order Date]],"[$-en-US]mmm")</f>
        <v>Mar</v>
      </c>
    </row>
    <row r="795" spans="1:10" x14ac:dyDescent="0.3">
      <c r="A795" t="s">
        <v>841</v>
      </c>
      <c r="B795" s="2">
        <v>45638</v>
      </c>
      <c r="C795" t="s">
        <v>1277</v>
      </c>
      <c r="D795" t="s">
        <v>1289</v>
      </c>
      <c r="E795">
        <v>6</v>
      </c>
      <c r="F795" s="3">
        <v>835</v>
      </c>
      <c r="G795" s="3">
        <v>5010</v>
      </c>
      <c r="H795" t="s">
        <v>1315</v>
      </c>
      <c r="I795">
        <f>MONTH(Table1_1[[#This Row],[Order Date]])</f>
        <v>12</v>
      </c>
      <c r="J795" t="str">
        <f>TEXT(Table1_1[[#This Row],[Order Date]],"[$-en-US]mmm")</f>
        <v>Dec</v>
      </c>
    </row>
    <row r="796" spans="1:10" x14ac:dyDescent="0.3">
      <c r="A796" t="s">
        <v>842</v>
      </c>
      <c r="B796" s="2">
        <v>45315</v>
      </c>
      <c r="C796" t="s">
        <v>1275</v>
      </c>
      <c r="D796" t="s">
        <v>1289</v>
      </c>
      <c r="E796">
        <v>2</v>
      </c>
      <c r="F796" s="3">
        <v>112</v>
      </c>
      <c r="G796" s="3">
        <v>224</v>
      </c>
      <c r="H796" t="s">
        <v>1314</v>
      </c>
      <c r="I796">
        <f>MONTH(Table1_1[[#This Row],[Order Date]])</f>
        <v>1</v>
      </c>
      <c r="J796" t="str">
        <f>TEXT(Table1_1[[#This Row],[Order Date]],"[$-en-US]mmm")</f>
        <v>Jan</v>
      </c>
    </row>
    <row r="797" spans="1:10" x14ac:dyDescent="0.3">
      <c r="A797" t="s">
        <v>843</v>
      </c>
      <c r="B797" s="2">
        <v>45475</v>
      </c>
      <c r="C797" t="s">
        <v>1279</v>
      </c>
      <c r="D797" t="s">
        <v>1289</v>
      </c>
      <c r="E797">
        <v>3</v>
      </c>
      <c r="F797" s="3">
        <v>351</v>
      </c>
      <c r="G797" s="3">
        <v>1053</v>
      </c>
      <c r="H797" t="s">
        <v>1316</v>
      </c>
      <c r="I797">
        <f>MONTH(Table1_1[[#This Row],[Order Date]])</f>
        <v>7</v>
      </c>
      <c r="J797" t="str">
        <f>TEXT(Table1_1[[#This Row],[Order Date]],"[$-en-US]mmm")</f>
        <v>Jul</v>
      </c>
    </row>
    <row r="798" spans="1:10" x14ac:dyDescent="0.3">
      <c r="A798" t="s">
        <v>844</v>
      </c>
      <c r="B798" s="2">
        <v>45467</v>
      </c>
      <c r="C798" t="s">
        <v>1277</v>
      </c>
      <c r="D798" t="s">
        <v>1289</v>
      </c>
      <c r="E798">
        <v>2</v>
      </c>
      <c r="F798" s="3">
        <v>396</v>
      </c>
      <c r="G798" s="3">
        <v>792</v>
      </c>
      <c r="H798" t="s">
        <v>1313</v>
      </c>
      <c r="I798">
        <f>MONTH(Table1_1[[#This Row],[Order Date]])</f>
        <v>6</v>
      </c>
      <c r="J798" t="str">
        <f>TEXT(Table1_1[[#This Row],[Order Date]],"[$-en-US]mmm")</f>
        <v>Jun</v>
      </c>
    </row>
    <row r="799" spans="1:10" x14ac:dyDescent="0.3">
      <c r="A799" t="s">
        <v>845</v>
      </c>
      <c r="B799" s="2">
        <v>45525</v>
      </c>
      <c r="C799" t="s">
        <v>1273</v>
      </c>
      <c r="D799" t="s">
        <v>1289</v>
      </c>
      <c r="E799">
        <v>7</v>
      </c>
      <c r="F799" s="3">
        <v>424</v>
      </c>
      <c r="G799" s="3">
        <v>2968</v>
      </c>
      <c r="H799" t="s">
        <v>1315</v>
      </c>
      <c r="I799">
        <f>MONTH(Table1_1[[#This Row],[Order Date]])</f>
        <v>8</v>
      </c>
      <c r="J799" t="str">
        <f>TEXT(Table1_1[[#This Row],[Order Date]],"[$-en-US]mmm")</f>
        <v>Aug</v>
      </c>
    </row>
    <row r="800" spans="1:10" x14ac:dyDescent="0.3">
      <c r="A800" t="s">
        <v>846</v>
      </c>
      <c r="B800" s="2">
        <v>45507</v>
      </c>
      <c r="C800" t="s">
        <v>1275</v>
      </c>
      <c r="D800" t="s">
        <v>1289</v>
      </c>
      <c r="E800">
        <v>8</v>
      </c>
      <c r="F800" s="3">
        <v>834</v>
      </c>
      <c r="G800" s="3">
        <v>6672</v>
      </c>
      <c r="H800" t="s">
        <v>1313</v>
      </c>
      <c r="I800">
        <f>MONTH(Table1_1[[#This Row],[Order Date]])</f>
        <v>8</v>
      </c>
      <c r="J800" t="str">
        <f>TEXT(Table1_1[[#This Row],[Order Date]],"[$-en-US]mmm")</f>
        <v>Aug</v>
      </c>
    </row>
    <row r="801" spans="1:10" x14ac:dyDescent="0.3">
      <c r="A801" t="s">
        <v>847</v>
      </c>
      <c r="B801" s="2">
        <v>45322</v>
      </c>
      <c r="C801" t="s">
        <v>1273</v>
      </c>
      <c r="D801" t="s">
        <v>1289</v>
      </c>
      <c r="E801">
        <v>3</v>
      </c>
      <c r="F801" s="3">
        <v>727</v>
      </c>
      <c r="G801" s="3">
        <v>2181</v>
      </c>
      <c r="H801" t="s">
        <v>1313</v>
      </c>
      <c r="I801">
        <f>MONTH(Table1_1[[#This Row],[Order Date]])</f>
        <v>1</v>
      </c>
      <c r="J801" t="str">
        <f>TEXT(Table1_1[[#This Row],[Order Date]],"[$-en-US]mmm")</f>
        <v>Jan</v>
      </c>
    </row>
    <row r="802" spans="1:10" x14ac:dyDescent="0.3">
      <c r="A802" t="s">
        <v>848</v>
      </c>
      <c r="B802" s="2">
        <v>45539</v>
      </c>
      <c r="C802" t="s">
        <v>1273</v>
      </c>
      <c r="D802" t="s">
        <v>1289</v>
      </c>
      <c r="E802">
        <v>7</v>
      </c>
      <c r="F802" s="3">
        <v>619</v>
      </c>
      <c r="G802" s="3">
        <v>4333</v>
      </c>
      <c r="H802" t="s">
        <v>1316</v>
      </c>
      <c r="I802">
        <f>MONTH(Table1_1[[#This Row],[Order Date]])</f>
        <v>9</v>
      </c>
      <c r="J802" t="str">
        <f>TEXT(Table1_1[[#This Row],[Order Date]],"[$-en-US]mmm")</f>
        <v>Sep</v>
      </c>
    </row>
    <row r="803" spans="1:10" x14ac:dyDescent="0.3">
      <c r="A803" t="s">
        <v>849</v>
      </c>
      <c r="B803" s="2">
        <v>45475</v>
      </c>
      <c r="C803" t="s">
        <v>1279</v>
      </c>
      <c r="D803" t="s">
        <v>1289</v>
      </c>
      <c r="E803">
        <v>10</v>
      </c>
      <c r="F803" s="3">
        <v>403</v>
      </c>
      <c r="G803" s="3">
        <v>4030</v>
      </c>
      <c r="H803" t="s">
        <v>1314</v>
      </c>
      <c r="I803">
        <f>MONTH(Table1_1[[#This Row],[Order Date]])</f>
        <v>7</v>
      </c>
      <c r="J803" t="str">
        <f>TEXT(Table1_1[[#This Row],[Order Date]],"[$-en-US]mmm")</f>
        <v>Jul</v>
      </c>
    </row>
    <row r="804" spans="1:10" x14ac:dyDescent="0.3">
      <c r="A804" t="s">
        <v>850</v>
      </c>
      <c r="B804" s="2">
        <v>45349</v>
      </c>
      <c r="C804" t="s">
        <v>1279</v>
      </c>
      <c r="D804" t="s">
        <v>1289</v>
      </c>
      <c r="E804">
        <v>8</v>
      </c>
      <c r="F804" s="3">
        <v>514</v>
      </c>
      <c r="G804" s="3">
        <v>4112</v>
      </c>
      <c r="H804" t="s">
        <v>1316</v>
      </c>
      <c r="I804">
        <f>MONTH(Table1_1[[#This Row],[Order Date]])</f>
        <v>2</v>
      </c>
      <c r="J804" t="str">
        <f>TEXT(Table1_1[[#This Row],[Order Date]],"[$-en-US]mmm")</f>
        <v>Feb</v>
      </c>
    </row>
    <row r="805" spans="1:10" x14ac:dyDescent="0.3">
      <c r="A805" t="s">
        <v>851</v>
      </c>
      <c r="B805" s="2">
        <v>45425</v>
      </c>
      <c r="C805" t="s">
        <v>1282</v>
      </c>
      <c r="D805" t="s">
        <v>1290</v>
      </c>
      <c r="E805">
        <v>1</v>
      </c>
      <c r="F805" s="3">
        <v>79</v>
      </c>
      <c r="G805" s="3">
        <v>79</v>
      </c>
      <c r="H805" t="s">
        <v>1315</v>
      </c>
      <c r="I805">
        <f>MONTH(Table1_1[[#This Row],[Order Date]])</f>
        <v>5</v>
      </c>
      <c r="J805" t="str">
        <f>TEXT(Table1_1[[#This Row],[Order Date]],"[$-en-US]mmm")</f>
        <v>May</v>
      </c>
    </row>
    <row r="806" spans="1:10" x14ac:dyDescent="0.3">
      <c r="A806" t="s">
        <v>852</v>
      </c>
      <c r="B806" s="2">
        <v>45587</v>
      </c>
      <c r="C806" t="s">
        <v>1276</v>
      </c>
      <c r="D806" t="s">
        <v>1290</v>
      </c>
      <c r="E806">
        <v>9</v>
      </c>
      <c r="F806" s="3">
        <v>800</v>
      </c>
      <c r="G806" s="3">
        <v>7200</v>
      </c>
      <c r="H806" t="s">
        <v>1313</v>
      </c>
      <c r="I806">
        <f>MONTH(Table1_1[[#This Row],[Order Date]])</f>
        <v>10</v>
      </c>
      <c r="J806" t="str">
        <f>TEXT(Table1_1[[#This Row],[Order Date]],"[$-en-US]mmm")</f>
        <v>Oct</v>
      </c>
    </row>
    <row r="807" spans="1:10" x14ac:dyDescent="0.3">
      <c r="A807" t="s">
        <v>853</v>
      </c>
      <c r="B807" s="2">
        <v>45644</v>
      </c>
      <c r="C807" t="s">
        <v>1280</v>
      </c>
      <c r="D807" t="s">
        <v>1290</v>
      </c>
      <c r="E807">
        <v>9</v>
      </c>
      <c r="F807" s="3">
        <v>550</v>
      </c>
      <c r="G807" s="3">
        <v>4950</v>
      </c>
      <c r="H807" t="s">
        <v>1314</v>
      </c>
      <c r="I807">
        <f>MONTH(Table1_1[[#This Row],[Order Date]])</f>
        <v>12</v>
      </c>
      <c r="J807" t="str">
        <f>TEXT(Table1_1[[#This Row],[Order Date]],"[$-en-US]mmm")</f>
        <v>Dec</v>
      </c>
    </row>
    <row r="808" spans="1:10" x14ac:dyDescent="0.3">
      <c r="A808" t="s">
        <v>854</v>
      </c>
      <c r="B808" s="2">
        <v>45469</v>
      </c>
      <c r="C808" t="s">
        <v>1275</v>
      </c>
      <c r="D808" t="s">
        <v>1289</v>
      </c>
      <c r="E808">
        <v>4</v>
      </c>
      <c r="F808" s="3">
        <v>508</v>
      </c>
      <c r="G808" s="3">
        <v>2032</v>
      </c>
      <c r="H808" t="s">
        <v>1316</v>
      </c>
      <c r="I808">
        <f>MONTH(Table1_1[[#This Row],[Order Date]])</f>
        <v>6</v>
      </c>
      <c r="J808" t="str">
        <f>TEXT(Table1_1[[#This Row],[Order Date]],"[$-en-US]mmm")</f>
        <v>Jun</v>
      </c>
    </row>
    <row r="809" spans="1:10" x14ac:dyDescent="0.3">
      <c r="A809" t="s">
        <v>855</v>
      </c>
      <c r="B809" s="2">
        <v>45319</v>
      </c>
      <c r="C809" t="s">
        <v>1279</v>
      </c>
      <c r="D809" t="s">
        <v>1289</v>
      </c>
      <c r="E809">
        <v>9</v>
      </c>
      <c r="F809" s="3">
        <v>642</v>
      </c>
      <c r="G809" s="3">
        <v>5778</v>
      </c>
      <c r="H809" t="s">
        <v>1314</v>
      </c>
      <c r="I809">
        <f>MONTH(Table1_1[[#This Row],[Order Date]])</f>
        <v>1</v>
      </c>
      <c r="J809" t="str">
        <f>TEXT(Table1_1[[#This Row],[Order Date]],"[$-en-US]mmm")</f>
        <v>Jan</v>
      </c>
    </row>
    <row r="810" spans="1:10" x14ac:dyDescent="0.3">
      <c r="A810" t="s">
        <v>856</v>
      </c>
      <c r="B810" s="2">
        <v>45532</v>
      </c>
      <c r="C810" t="s">
        <v>1279</v>
      </c>
      <c r="D810" t="s">
        <v>1289</v>
      </c>
      <c r="E810">
        <v>9</v>
      </c>
      <c r="F810" s="3">
        <v>884</v>
      </c>
      <c r="G810" s="3">
        <v>7956</v>
      </c>
      <c r="H810" t="s">
        <v>1316</v>
      </c>
      <c r="I810">
        <f>MONTH(Table1_1[[#This Row],[Order Date]])</f>
        <v>8</v>
      </c>
      <c r="J810" t="str">
        <f>TEXT(Table1_1[[#This Row],[Order Date]],"[$-en-US]mmm")</f>
        <v>Aug</v>
      </c>
    </row>
    <row r="811" spans="1:10" x14ac:dyDescent="0.3">
      <c r="A811" t="s">
        <v>857</v>
      </c>
      <c r="B811" s="2">
        <v>45543</v>
      </c>
      <c r="C811" t="s">
        <v>1279</v>
      </c>
      <c r="D811" t="s">
        <v>1289</v>
      </c>
      <c r="E811">
        <v>2</v>
      </c>
      <c r="F811" s="3">
        <v>784</v>
      </c>
      <c r="G811" s="3">
        <v>1568</v>
      </c>
      <c r="H811" t="s">
        <v>1315</v>
      </c>
      <c r="I811">
        <f>MONTH(Table1_1[[#This Row],[Order Date]])</f>
        <v>9</v>
      </c>
      <c r="J811" t="str">
        <f>TEXT(Table1_1[[#This Row],[Order Date]],"[$-en-US]mmm")</f>
        <v>Sep</v>
      </c>
    </row>
    <row r="812" spans="1:10" x14ac:dyDescent="0.3">
      <c r="A812" t="s">
        <v>858</v>
      </c>
      <c r="B812" s="2">
        <v>45317</v>
      </c>
      <c r="C812" t="s">
        <v>1274</v>
      </c>
      <c r="D812" t="s">
        <v>1290</v>
      </c>
      <c r="E812">
        <v>6</v>
      </c>
      <c r="F812" s="3">
        <v>299</v>
      </c>
      <c r="G812" s="3">
        <v>1794</v>
      </c>
      <c r="H812" t="s">
        <v>1313</v>
      </c>
      <c r="I812">
        <f>MONTH(Table1_1[[#This Row],[Order Date]])</f>
        <v>1</v>
      </c>
      <c r="J812" t="str">
        <f>TEXT(Table1_1[[#This Row],[Order Date]],"[$-en-US]mmm")</f>
        <v>Jan</v>
      </c>
    </row>
    <row r="813" spans="1:10" x14ac:dyDescent="0.3">
      <c r="A813" t="s">
        <v>859</v>
      </c>
      <c r="B813" s="2">
        <v>45412</v>
      </c>
      <c r="C813" t="s">
        <v>1275</v>
      </c>
      <c r="D813" t="s">
        <v>1289</v>
      </c>
      <c r="E813">
        <v>7</v>
      </c>
      <c r="F813" s="3">
        <v>851</v>
      </c>
      <c r="G813" s="3">
        <v>5957</v>
      </c>
      <c r="H813" t="s">
        <v>1314</v>
      </c>
      <c r="I813">
        <f>MONTH(Table1_1[[#This Row],[Order Date]])</f>
        <v>4</v>
      </c>
      <c r="J813" t="str">
        <f>TEXT(Table1_1[[#This Row],[Order Date]],"[$-en-US]mmm")</f>
        <v>Apr</v>
      </c>
    </row>
    <row r="814" spans="1:10" x14ac:dyDescent="0.3">
      <c r="A814" t="s">
        <v>860</v>
      </c>
      <c r="B814" s="2">
        <v>45585</v>
      </c>
      <c r="C814" t="s">
        <v>1282</v>
      </c>
      <c r="D814" t="s">
        <v>1290</v>
      </c>
      <c r="E814">
        <v>8</v>
      </c>
      <c r="F814" s="3">
        <v>835</v>
      </c>
      <c r="G814" s="3">
        <v>6680</v>
      </c>
      <c r="H814" t="s">
        <v>1316</v>
      </c>
      <c r="I814">
        <f>MONTH(Table1_1[[#This Row],[Order Date]])</f>
        <v>10</v>
      </c>
      <c r="J814" t="str">
        <f>TEXT(Table1_1[[#This Row],[Order Date]],"[$-en-US]mmm")</f>
        <v>Oct</v>
      </c>
    </row>
    <row r="815" spans="1:10" x14ac:dyDescent="0.3">
      <c r="A815" t="s">
        <v>861</v>
      </c>
      <c r="B815" s="2">
        <v>45453</v>
      </c>
      <c r="C815" t="s">
        <v>1273</v>
      </c>
      <c r="D815" t="s">
        <v>1289</v>
      </c>
      <c r="E815">
        <v>8</v>
      </c>
      <c r="F815" s="3">
        <v>472</v>
      </c>
      <c r="G815" s="3">
        <v>3776</v>
      </c>
      <c r="H815" t="s">
        <v>1314</v>
      </c>
      <c r="I815">
        <f>MONTH(Table1_1[[#This Row],[Order Date]])</f>
        <v>6</v>
      </c>
      <c r="J815" t="str">
        <f>TEXT(Table1_1[[#This Row],[Order Date]],"[$-en-US]mmm")</f>
        <v>Jun</v>
      </c>
    </row>
    <row r="816" spans="1:10" x14ac:dyDescent="0.3">
      <c r="A816" t="s">
        <v>863</v>
      </c>
      <c r="B816" s="2">
        <v>45292</v>
      </c>
      <c r="C816" t="s">
        <v>1276</v>
      </c>
      <c r="D816" t="s">
        <v>1290</v>
      </c>
      <c r="E816">
        <v>9</v>
      </c>
      <c r="F816" s="3">
        <v>577</v>
      </c>
      <c r="G816" s="3">
        <v>5193</v>
      </c>
      <c r="H816" t="s">
        <v>1314</v>
      </c>
      <c r="I816">
        <f>MONTH(Table1_1[[#This Row],[Order Date]])</f>
        <v>1</v>
      </c>
      <c r="J816" t="str">
        <f>TEXT(Table1_1[[#This Row],[Order Date]],"[$-en-US]mmm")</f>
        <v>Jan</v>
      </c>
    </row>
    <row r="817" spans="1:10" x14ac:dyDescent="0.3">
      <c r="A817" t="s">
        <v>864</v>
      </c>
      <c r="B817" s="2">
        <v>45397</v>
      </c>
      <c r="C817" t="s">
        <v>1277</v>
      </c>
      <c r="D817" t="s">
        <v>1289</v>
      </c>
      <c r="E817">
        <v>9</v>
      </c>
      <c r="F817" s="3">
        <v>590</v>
      </c>
      <c r="G817" s="3">
        <v>5310</v>
      </c>
      <c r="H817" t="s">
        <v>1316</v>
      </c>
      <c r="I817">
        <f>MONTH(Table1_1[[#This Row],[Order Date]])</f>
        <v>4</v>
      </c>
      <c r="J817" t="str">
        <f>TEXT(Table1_1[[#This Row],[Order Date]],"[$-en-US]mmm")</f>
        <v>Apr</v>
      </c>
    </row>
    <row r="818" spans="1:10" x14ac:dyDescent="0.3">
      <c r="A818" t="s">
        <v>865</v>
      </c>
      <c r="B818" s="2">
        <v>45319</v>
      </c>
      <c r="C818" t="s">
        <v>1280</v>
      </c>
      <c r="D818" t="s">
        <v>1290</v>
      </c>
      <c r="E818">
        <v>6</v>
      </c>
      <c r="F818" s="3">
        <v>860</v>
      </c>
      <c r="G818" s="3">
        <v>5160</v>
      </c>
      <c r="H818" t="s">
        <v>1313</v>
      </c>
      <c r="I818">
        <f>MONTH(Table1_1[[#This Row],[Order Date]])</f>
        <v>1</v>
      </c>
      <c r="J818" t="str">
        <f>TEXT(Table1_1[[#This Row],[Order Date]],"[$-en-US]mmm")</f>
        <v>Jan</v>
      </c>
    </row>
    <row r="819" spans="1:10" x14ac:dyDescent="0.3">
      <c r="A819" t="s">
        <v>866</v>
      </c>
      <c r="B819" s="2">
        <v>45609</v>
      </c>
      <c r="C819" t="s">
        <v>1282</v>
      </c>
      <c r="D819" t="s">
        <v>1290</v>
      </c>
      <c r="E819">
        <v>6</v>
      </c>
      <c r="F819" s="3">
        <v>588</v>
      </c>
      <c r="G819" s="3">
        <v>3528</v>
      </c>
      <c r="H819" t="s">
        <v>1316</v>
      </c>
      <c r="I819">
        <f>MONTH(Table1_1[[#This Row],[Order Date]])</f>
        <v>11</v>
      </c>
      <c r="J819" t="str">
        <f>TEXT(Table1_1[[#This Row],[Order Date]],"[$-en-US]mmm")</f>
        <v>Nov</v>
      </c>
    </row>
    <row r="820" spans="1:10" x14ac:dyDescent="0.3">
      <c r="A820" t="s">
        <v>867</v>
      </c>
      <c r="B820" s="2">
        <v>45341</v>
      </c>
      <c r="C820" t="s">
        <v>1280</v>
      </c>
      <c r="D820" t="s">
        <v>1290</v>
      </c>
      <c r="E820">
        <v>8</v>
      </c>
      <c r="F820" s="3">
        <v>131</v>
      </c>
      <c r="G820" s="3">
        <v>1048</v>
      </c>
      <c r="H820" t="s">
        <v>1313</v>
      </c>
      <c r="I820">
        <f>MONTH(Table1_1[[#This Row],[Order Date]])</f>
        <v>2</v>
      </c>
      <c r="J820" t="str">
        <f>TEXT(Table1_1[[#This Row],[Order Date]],"[$-en-US]mmm")</f>
        <v>Feb</v>
      </c>
    </row>
    <row r="821" spans="1:10" x14ac:dyDescent="0.3">
      <c r="A821" t="s">
        <v>868</v>
      </c>
      <c r="B821" s="2">
        <v>45616</v>
      </c>
      <c r="C821" t="s">
        <v>1276</v>
      </c>
      <c r="D821" t="s">
        <v>1290</v>
      </c>
      <c r="E821">
        <v>6</v>
      </c>
      <c r="F821" s="3">
        <v>378</v>
      </c>
      <c r="G821" s="3">
        <v>2268</v>
      </c>
      <c r="H821" t="s">
        <v>1315</v>
      </c>
      <c r="I821">
        <f>MONTH(Table1_1[[#This Row],[Order Date]])</f>
        <v>11</v>
      </c>
      <c r="J821" t="str">
        <f>TEXT(Table1_1[[#This Row],[Order Date]],"[$-en-US]mmm")</f>
        <v>Nov</v>
      </c>
    </row>
    <row r="822" spans="1:10" x14ac:dyDescent="0.3">
      <c r="A822" t="s">
        <v>869</v>
      </c>
      <c r="B822" s="2">
        <v>45376</v>
      </c>
      <c r="C822" t="s">
        <v>1280</v>
      </c>
      <c r="D822" t="s">
        <v>1290</v>
      </c>
      <c r="E822">
        <v>2</v>
      </c>
      <c r="F822" s="3">
        <v>61</v>
      </c>
      <c r="G822" s="3">
        <v>122</v>
      </c>
      <c r="H822" t="s">
        <v>1316</v>
      </c>
      <c r="I822">
        <f>MONTH(Table1_1[[#This Row],[Order Date]])</f>
        <v>3</v>
      </c>
      <c r="J822" t="str">
        <f>TEXT(Table1_1[[#This Row],[Order Date]],"[$-en-US]mmm")</f>
        <v>Mar</v>
      </c>
    </row>
    <row r="823" spans="1:10" x14ac:dyDescent="0.3">
      <c r="A823" t="s">
        <v>870</v>
      </c>
      <c r="B823" s="2">
        <v>45422</v>
      </c>
      <c r="C823" t="s">
        <v>1279</v>
      </c>
      <c r="D823" t="s">
        <v>1289</v>
      </c>
      <c r="E823">
        <v>7</v>
      </c>
      <c r="F823" s="3">
        <v>124</v>
      </c>
      <c r="G823" s="3">
        <v>868</v>
      </c>
      <c r="H823" t="s">
        <v>1313</v>
      </c>
      <c r="I823">
        <f>MONTH(Table1_1[[#This Row],[Order Date]])</f>
        <v>5</v>
      </c>
      <c r="J823" t="str">
        <f>TEXT(Table1_1[[#This Row],[Order Date]],"[$-en-US]mmm")</f>
        <v>May</v>
      </c>
    </row>
    <row r="824" spans="1:10" x14ac:dyDescent="0.3">
      <c r="A824" t="s">
        <v>871</v>
      </c>
      <c r="B824" s="2">
        <v>45493</v>
      </c>
      <c r="C824" t="s">
        <v>1274</v>
      </c>
      <c r="D824" t="s">
        <v>1290</v>
      </c>
      <c r="E824">
        <v>2</v>
      </c>
      <c r="F824" s="3">
        <v>887</v>
      </c>
      <c r="G824" s="3">
        <v>1774</v>
      </c>
      <c r="H824" t="s">
        <v>1313</v>
      </c>
      <c r="I824">
        <f>MONTH(Table1_1[[#This Row],[Order Date]])</f>
        <v>7</v>
      </c>
      <c r="J824" t="str">
        <f>TEXT(Table1_1[[#This Row],[Order Date]],"[$-en-US]mmm")</f>
        <v>Jul</v>
      </c>
    </row>
    <row r="825" spans="1:10" x14ac:dyDescent="0.3">
      <c r="A825" t="s">
        <v>872</v>
      </c>
      <c r="B825" s="2">
        <v>45465</v>
      </c>
      <c r="C825" t="s">
        <v>1282</v>
      </c>
      <c r="D825" t="s">
        <v>1290</v>
      </c>
      <c r="E825">
        <v>4</v>
      </c>
      <c r="F825" s="3">
        <v>748</v>
      </c>
      <c r="G825" s="3">
        <v>2992</v>
      </c>
      <c r="H825" t="s">
        <v>1314</v>
      </c>
      <c r="I825">
        <f>MONTH(Table1_1[[#This Row],[Order Date]])</f>
        <v>6</v>
      </c>
      <c r="J825" t="str">
        <f>TEXT(Table1_1[[#This Row],[Order Date]],"[$-en-US]mmm")</f>
        <v>Jun</v>
      </c>
    </row>
    <row r="826" spans="1:10" x14ac:dyDescent="0.3">
      <c r="A826" t="s">
        <v>873</v>
      </c>
      <c r="B826" s="2">
        <v>45636</v>
      </c>
      <c r="C826" t="s">
        <v>1275</v>
      </c>
      <c r="D826" t="s">
        <v>1289</v>
      </c>
      <c r="E826">
        <v>1</v>
      </c>
      <c r="F826" s="3">
        <v>663</v>
      </c>
      <c r="G826" s="3">
        <v>663</v>
      </c>
      <c r="H826" t="s">
        <v>1314</v>
      </c>
      <c r="I826">
        <f>MONTH(Table1_1[[#This Row],[Order Date]])</f>
        <v>12</v>
      </c>
      <c r="J826" t="str">
        <f>TEXT(Table1_1[[#This Row],[Order Date]],"[$-en-US]mmm")</f>
        <v>Dec</v>
      </c>
    </row>
    <row r="827" spans="1:10" x14ac:dyDescent="0.3">
      <c r="A827" t="s">
        <v>874</v>
      </c>
      <c r="B827" s="2">
        <v>45593</v>
      </c>
      <c r="C827" t="s">
        <v>1282</v>
      </c>
      <c r="D827" t="s">
        <v>1290</v>
      </c>
      <c r="E827">
        <v>8</v>
      </c>
      <c r="F827" s="3">
        <v>689</v>
      </c>
      <c r="G827" s="3">
        <v>5512</v>
      </c>
      <c r="H827" t="s">
        <v>1313</v>
      </c>
      <c r="I827">
        <f>MONTH(Table1_1[[#This Row],[Order Date]])</f>
        <v>10</v>
      </c>
      <c r="J827" t="str">
        <f>TEXT(Table1_1[[#This Row],[Order Date]],"[$-en-US]mmm")</f>
        <v>Oct</v>
      </c>
    </row>
    <row r="828" spans="1:10" x14ac:dyDescent="0.3">
      <c r="A828" t="s">
        <v>875</v>
      </c>
      <c r="B828" s="2">
        <v>45316</v>
      </c>
      <c r="C828" t="s">
        <v>1282</v>
      </c>
      <c r="D828" t="s">
        <v>1290</v>
      </c>
      <c r="E828">
        <v>1</v>
      </c>
      <c r="F828" s="3">
        <v>558</v>
      </c>
      <c r="G828" s="3">
        <v>558</v>
      </c>
      <c r="H828" t="s">
        <v>1316</v>
      </c>
      <c r="I828">
        <f>MONTH(Table1_1[[#This Row],[Order Date]])</f>
        <v>1</v>
      </c>
      <c r="J828" t="str">
        <f>TEXT(Table1_1[[#This Row],[Order Date]],"[$-en-US]mmm")</f>
        <v>Jan</v>
      </c>
    </row>
    <row r="829" spans="1:10" x14ac:dyDescent="0.3">
      <c r="A829" t="s">
        <v>876</v>
      </c>
      <c r="B829" s="2">
        <v>45382</v>
      </c>
      <c r="C829" t="s">
        <v>1282</v>
      </c>
      <c r="D829" t="s">
        <v>1290</v>
      </c>
      <c r="E829">
        <v>9</v>
      </c>
      <c r="F829" s="3">
        <v>814</v>
      </c>
      <c r="G829" s="3">
        <v>7326</v>
      </c>
      <c r="H829" t="s">
        <v>1313</v>
      </c>
      <c r="I829">
        <f>MONTH(Table1_1[[#This Row],[Order Date]])</f>
        <v>3</v>
      </c>
      <c r="J829" t="str">
        <f>TEXT(Table1_1[[#This Row],[Order Date]],"[$-en-US]mmm")</f>
        <v>Mar</v>
      </c>
    </row>
    <row r="830" spans="1:10" x14ac:dyDescent="0.3">
      <c r="A830" t="s">
        <v>877</v>
      </c>
      <c r="B830" s="2">
        <v>45628</v>
      </c>
      <c r="C830" t="s">
        <v>1279</v>
      </c>
      <c r="D830" t="s">
        <v>1289</v>
      </c>
      <c r="E830">
        <v>2</v>
      </c>
      <c r="F830" s="3">
        <v>411</v>
      </c>
      <c r="G830" s="3">
        <v>822</v>
      </c>
      <c r="H830" t="s">
        <v>1315</v>
      </c>
      <c r="I830">
        <f>MONTH(Table1_1[[#This Row],[Order Date]])</f>
        <v>12</v>
      </c>
      <c r="J830" t="str">
        <f>TEXT(Table1_1[[#This Row],[Order Date]],"[$-en-US]mmm")</f>
        <v>Dec</v>
      </c>
    </row>
    <row r="831" spans="1:10" x14ac:dyDescent="0.3">
      <c r="A831" t="s">
        <v>878</v>
      </c>
      <c r="B831" s="2">
        <v>45646</v>
      </c>
      <c r="C831" t="s">
        <v>1275</v>
      </c>
      <c r="D831" t="s">
        <v>1289</v>
      </c>
      <c r="E831">
        <v>7</v>
      </c>
      <c r="F831" s="3">
        <v>638</v>
      </c>
      <c r="G831" s="3">
        <v>4466</v>
      </c>
      <c r="H831" t="s">
        <v>1313</v>
      </c>
      <c r="I831">
        <f>MONTH(Table1_1[[#This Row],[Order Date]])</f>
        <v>12</v>
      </c>
      <c r="J831" t="str">
        <f>TEXT(Table1_1[[#This Row],[Order Date]],"[$-en-US]mmm")</f>
        <v>Dec</v>
      </c>
    </row>
    <row r="832" spans="1:10" x14ac:dyDescent="0.3">
      <c r="A832" t="s">
        <v>881</v>
      </c>
      <c r="B832" s="2">
        <v>45403</v>
      </c>
      <c r="C832" t="s">
        <v>1280</v>
      </c>
      <c r="D832" t="s">
        <v>1290</v>
      </c>
      <c r="E832">
        <v>9</v>
      </c>
      <c r="F832" s="3">
        <v>662</v>
      </c>
      <c r="G832" s="3">
        <v>5958</v>
      </c>
      <c r="H832" t="s">
        <v>1313</v>
      </c>
      <c r="I832">
        <f>MONTH(Table1_1[[#This Row],[Order Date]])</f>
        <v>4</v>
      </c>
      <c r="J832" t="str">
        <f>TEXT(Table1_1[[#This Row],[Order Date]],"[$-en-US]mmm")</f>
        <v>Apr</v>
      </c>
    </row>
    <row r="833" spans="1:10" x14ac:dyDescent="0.3">
      <c r="A833" t="s">
        <v>882</v>
      </c>
      <c r="B833" s="2">
        <v>45440</v>
      </c>
      <c r="C833" t="s">
        <v>1274</v>
      </c>
      <c r="D833" t="s">
        <v>1290</v>
      </c>
      <c r="E833">
        <v>10</v>
      </c>
      <c r="F833" s="3">
        <v>746</v>
      </c>
      <c r="G833" s="3">
        <v>7460</v>
      </c>
      <c r="H833" t="s">
        <v>1315</v>
      </c>
      <c r="I833">
        <f>MONTH(Table1_1[[#This Row],[Order Date]])</f>
        <v>5</v>
      </c>
      <c r="J833" t="str">
        <f>TEXT(Table1_1[[#This Row],[Order Date]],"[$-en-US]mmm")</f>
        <v>May</v>
      </c>
    </row>
    <row r="834" spans="1:10" x14ac:dyDescent="0.3">
      <c r="A834" t="s">
        <v>883</v>
      </c>
      <c r="B834" s="2">
        <v>45569</v>
      </c>
      <c r="C834" t="s">
        <v>1279</v>
      </c>
      <c r="D834" t="s">
        <v>1289</v>
      </c>
      <c r="E834">
        <v>3</v>
      </c>
      <c r="F834" s="3">
        <v>530</v>
      </c>
      <c r="G834" s="3">
        <v>1590</v>
      </c>
      <c r="H834" t="s">
        <v>1315</v>
      </c>
      <c r="I834">
        <f>MONTH(Table1_1[[#This Row],[Order Date]])</f>
        <v>10</v>
      </c>
      <c r="J834" t="str">
        <f>TEXT(Table1_1[[#This Row],[Order Date]],"[$-en-US]mmm")</f>
        <v>Oct</v>
      </c>
    </row>
    <row r="835" spans="1:10" x14ac:dyDescent="0.3">
      <c r="A835" t="s">
        <v>884</v>
      </c>
      <c r="B835" s="2">
        <v>45537</v>
      </c>
      <c r="C835" t="s">
        <v>1273</v>
      </c>
      <c r="D835" t="s">
        <v>1289</v>
      </c>
      <c r="E835">
        <v>6</v>
      </c>
      <c r="F835" s="3">
        <v>590</v>
      </c>
      <c r="G835" s="3">
        <v>3540</v>
      </c>
      <c r="H835" t="s">
        <v>1316</v>
      </c>
      <c r="I835">
        <f>MONTH(Table1_1[[#This Row],[Order Date]])</f>
        <v>9</v>
      </c>
      <c r="J835" t="str">
        <f>TEXT(Table1_1[[#This Row],[Order Date]],"[$-en-US]mmm")</f>
        <v>Sep</v>
      </c>
    </row>
    <row r="836" spans="1:10" x14ac:dyDescent="0.3">
      <c r="A836" t="s">
        <v>885</v>
      </c>
      <c r="B836" s="2">
        <v>45298</v>
      </c>
      <c r="C836" t="s">
        <v>1277</v>
      </c>
      <c r="D836" t="s">
        <v>1289</v>
      </c>
      <c r="E836">
        <v>7</v>
      </c>
      <c r="F836" s="3">
        <v>842</v>
      </c>
      <c r="G836" s="3">
        <v>5894</v>
      </c>
      <c r="H836" t="s">
        <v>1314</v>
      </c>
      <c r="I836">
        <f>MONTH(Table1_1[[#This Row],[Order Date]])</f>
        <v>1</v>
      </c>
      <c r="J836" t="str">
        <f>TEXT(Table1_1[[#This Row],[Order Date]],"[$-en-US]mmm")</f>
        <v>Jan</v>
      </c>
    </row>
    <row r="837" spans="1:10" x14ac:dyDescent="0.3">
      <c r="A837" t="s">
        <v>886</v>
      </c>
      <c r="B837" s="2">
        <v>45319</v>
      </c>
      <c r="C837" t="s">
        <v>1276</v>
      </c>
      <c r="D837" t="s">
        <v>1290</v>
      </c>
      <c r="E837">
        <v>7</v>
      </c>
      <c r="F837" s="3">
        <v>163</v>
      </c>
      <c r="G837" s="3">
        <v>1141</v>
      </c>
      <c r="H837" t="s">
        <v>1314</v>
      </c>
      <c r="I837">
        <f>MONTH(Table1_1[[#This Row],[Order Date]])</f>
        <v>1</v>
      </c>
      <c r="J837" t="str">
        <f>TEXT(Table1_1[[#This Row],[Order Date]],"[$-en-US]mmm")</f>
        <v>Jan</v>
      </c>
    </row>
    <row r="838" spans="1:10" x14ac:dyDescent="0.3">
      <c r="A838" t="s">
        <v>887</v>
      </c>
      <c r="B838" s="2">
        <v>45374</v>
      </c>
      <c r="C838" t="s">
        <v>1274</v>
      </c>
      <c r="D838" t="s">
        <v>1290</v>
      </c>
      <c r="E838">
        <v>5</v>
      </c>
      <c r="F838" s="3">
        <v>783</v>
      </c>
      <c r="G838" s="3">
        <v>3915</v>
      </c>
      <c r="H838" t="s">
        <v>1315</v>
      </c>
      <c r="I838">
        <f>MONTH(Table1_1[[#This Row],[Order Date]])</f>
        <v>3</v>
      </c>
      <c r="J838" t="str">
        <f>TEXT(Table1_1[[#This Row],[Order Date]],"[$-en-US]mmm")</f>
        <v>Mar</v>
      </c>
    </row>
    <row r="839" spans="1:10" x14ac:dyDescent="0.3">
      <c r="A839" t="s">
        <v>888</v>
      </c>
      <c r="B839" s="2">
        <v>45323</v>
      </c>
      <c r="C839" t="s">
        <v>1277</v>
      </c>
      <c r="D839" t="s">
        <v>1289</v>
      </c>
      <c r="E839">
        <v>3</v>
      </c>
      <c r="F839" s="3">
        <v>874</v>
      </c>
      <c r="G839" s="3">
        <v>2622</v>
      </c>
      <c r="H839" t="s">
        <v>1315</v>
      </c>
      <c r="I839">
        <f>MONTH(Table1_1[[#This Row],[Order Date]])</f>
        <v>2</v>
      </c>
      <c r="J839" t="str">
        <f>TEXT(Table1_1[[#This Row],[Order Date]],"[$-en-US]mmm")</f>
        <v>Feb</v>
      </c>
    </row>
    <row r="840" spans="1:10" x14ac:dyDescent="0.3">
      <c r="A840" t="s">
        <v>889</v>
      </c>
      <c r="B840" s="2">
        <v>45475</v>
      </c>
      <c r="C840" t="s">
        <v>1274</v>
      </c>
      <c r="D840" t="s">
        <v>1290</v>
      </c>
      <c r="E840">
        <v>9</v>
      </c>
      <c r="F840" s="3">
        <v>48</v>
      </c>
      <c r="G840" s="3">
        <v>432</v>
      </c>
      <c r="H840" t="s">
        <v>1316</v>
      </c>
      <c r="I840">
        <f>MONTH(Table1_1[[#This Row],[Order Date]])</f>
        <v>7</v>
      </c>
      <c r="J840" t="str">
        <f>TEXT(Table1_1[[#This Row],[Order Date]],"[$-en-US]mmm")</f>
        <v>Jul</v>
      </c>
    </row>
    <row r="841" spans="1:10" x14ac:dyDescent="0.3">
      <c r="A841" t="s">
        <v>890</v>
      </c>
      <c r="B841" s="2">
        <v>45579</v>
      </c>
      <c r="C841" t="s">
        <v>1273</v>
      </c>
      <c r="D841" t="s">
        <v>1289</v>
      </c>
      <c r="E841">
        <v>10</v>
      </c>
      <c r="F841" s="3">
        <v>706</v>
      </c>
      <c r="G841" s="3">
        <v>7060</v>
      </c>
      <c r="H841" t="s">
        <v>1313</v>
      </c>
      <c r="I841">
        <f>MONTH(Table1_1[[#This Row],[Order Date]])</f>
        <v>10</v>
      </c>
      <c r="J841" t="str">
        <f>TEXT(Table1_1[[#This Row],[Order Date]],"[$-en-US]mmm")</f>
        <v>Oct</v>
      </c>
    </row>
    <row r="842" spans="1:10" x14ac:dyDescent="0.3">
      <c r="A842" t="s">
        <v>891</v>
      </c>
      <c r="B842" s="2">
        <v>45648</v>
      </c>
      <c r="C842" t="s">
        <v>1275</v>
      </c>
      <c r="D842" t="s">
        <v>1289</v>
      </c>
      <c r="E842">
        <v>4</v>
      </c>
      <c r="F842" s="3">
        <v>538</v>
      </c>
      <c r="G842" s="3">
        <v>2152</v>
      </c>
      <c r="H842" t="s">
        <v>1315</v>
      </c>
      <c r="I842">
        <f>MONTH(Table1_1[[#This Row],[Order Date]])</f>
        <v>12</v>
      </c>
      <c r="J842" t="str">
        <f>TEXT(Table1_1[[#This Row],[Order Date]],"[$-en-US]mmm")</f>
        <v>Dec</v>
      </c>
    </row>
    <row r="843" spans="1:10" x14ac:dyDescent="0.3">
      <c r="A843" t="s">
        <v>892</v>
      </c>
      <c r="B843" s="2">
        <v>45505</v>
      </c>
      <c r="C843" t="s">
        <v>1276</v>
      </c>
      <c r="D843" t="s">
        <v>1290</v>
      </c>
      <c r="E843">
        <v>7</v>
      </c>
      <c r="F843" s="3">
        <v>411</v>
      </c>
      <c r="G843" s="3">
        <v>2877</v>
      </c>
      <c r="H843" t="s">
        <v>1315</v>
      </c>
      <c r="I843">
        <f>MONTH(Table1_1[[#This Row],[Order Date]])</f>
        <v>8</v>
      </c>
      <c r="J843" t="str">
        <f>TEXT(Table1_1[[#This Row],[Order Date]],"[$-en-US]mmm")</f>
        <v>Aug</v>
      </c>
    </row>
    <row r="844" spans="1:10" x14ac:dyDescent="0.3">
      <c r="A844" t="s">
        <v>893</v>
      </c>
      <c r="B844" s="2">
        <v>45420</v>
      </c>
      <c r="C844" t="s">
        <v>1276</v>
      </c>
      <c r="D844" t="s">
        <v>1290</v>
      </c>
      <c r="E844">
        <v>1</v>
      </c>
      <c r="F844" s="3">
        <v>776</v>
      </c>
      <c r="G844" s="3">
        <v>776</v>
      </c>
      <c r="H844" t="s">
        <v>1313</v>
      </c>
      <c r="I844">
        <f>MONTH(Table1_1[[#This Row],[Order Date]])</f>
        <v>5</v>
      </c>
      <c r="J844" t="str">
        <f>TEXT(Table1_1[[#This Row],[Order Date]],"[$-en-US]mmm")</f>
        <v>May</v>
      </c>
    </row>
    <row r="845" spans="1:10" x14ac:dyDescent="0.3">
      <c r="A845" t="s">
        <v>894</v>
      </c>
      <c r="B845" s="2">
        <v>45652</v>
      </c>
      <c r="C845" t="s">
        <v>1282</v>
      </c>
      <c r="D845" t="s">
        <v>1290</v>
      </c>
      <c r="E845">
        <v>4</v>
      </c>
      <c r="F845" s="3">
        <v>663</v>
      </c>
      <c r="G845" s="3">
        <v>2652</v>
      </c>
      <c r="H845" t="s">
        <v>1315</v>
      </c>
      <c r="I845">
        <f>MONTH(Table1_1[[#This Row],[Order Date]])</f>
        <v>12</v>
      </c>
      <c r="J845" t="str">
        <f>TEXT(Table1_1[[#This Row],[Order Date]],"[$-en-US]mmm")</f>
        <v>Dec</v>
      </c>
    </row>
    <row r="846" spans="1:10" x14ac:dyDescent="0.3">
      <c r="A846" t="s">
        <v>895</v>
      </c>
      <c r="B846" s="2">
        <v>45521</v>
      </c>
      <c r="C846" t="s">
        <v>1274</v>
      </c>
      <c r="D846" t="s">
        <v>1290</v>
      </c>
      <c r="E846">
        <v>4</v>
      </c>
      <c r="F846" s="3">
        <v>316</v>
      </c>
      <c r="G846" s="3">
        <v>1264</v>
      </c>
      <c r="H846" t="s">
        <v>1313</v>
      </c>
      <c r="I846">
        <f>MONTH(Table1_1[[#This Row],[Order Date]])</f>
        <v>8</v>
      </c>
      <c r="J846" t="str">
        <f>TEXT(Table1_1[[#This Row],[Order Date]],"[$-en-US]mmm")</f>
        <v>Aug</v>
      </c>
    </row>
    <row r="847" spans="1:10" x14ac:dyDescent="0.3">
      <c r="A847" t="s">
        <v>896</v>
      </c>
      <c r="B847" s="2">
        <v>45555</v>
      </c>
      <c r="C847" t="s">
        <v>1273</v>
      </c>
      <c r="D847" t="s">
        <v>1289</v>
      </c>
      <c r="E847">
        <v>3</v>
      </c>
      <c r="F847" s="3">
        <v>192</v>
      </c>
      <c r="G847" s="3">
        <v>576</v>
      </c>
      <c r="H847" t="s">
        <v>1314</v>
      </c>
      <c r="I847">
        <f>MONTH(Table1_1[[#This Row],[Order Date]])</f>
        <v>9</v>
      </c>
      <c r="J847" t="str">
        <f>TEXT(Table1_1[[#This Row],[Order Date]],"[$-en-US]mmm")</f>
        <v>Sep</v>
      </c>
    </row>
    <row r="848" spans="1:10" x14ac:dyDescent="0.3">
      <c r="A848" t="s">
        <v>897</v>
      </c>
      <c r="B848" s="2">
        <v>45434</v>
      </c>
      <c r="C848" t="s">
        <v>1275</v>
      </c>
      <c r="D848" t="s">
        <v>1289</v>
      </c>
      <c r="E848">
        <v>1</v>
      </c>
      <c r="F848" s="3">
        <v>453</v>
      </c>
      <c r="G848" s="3">
        <v>453</v>
      </c>
      <c r="H848" t="s">
        <v>1315</v>
      </c>
      <c r="I848">
        <f>MONTH(Table1_1[[#This Row],[Order Date]])</f>
        <v>5</v>
      </c>
      <c r="J848" t="str">
        <f>TEXT(Table1_1[[#This Row],[Order Date]],"[$-en-US]mmm")</f>
        <v>May</v>
      </c>
    </row>
    <row r="849" spans="1:10" x14ac:dyDescent="0.3">
      <c r="A849" t="s">
        <v>898</v>
      </c>
      <c r="B849" s="2">
        <v>45422</v>
      </c>
      <c r="C849" t="s">
        <v>1279</v>
      </c>
      <c r="D849" t="s">
        <v>1289</v>
      </c>
      <c r="E849">
        <v>3</v>
      </c>
      <c r="F849" s="3">
        <v>613</v>
      </c>
      <c r="G849" s="3">
        <v>1839</v>
      </c>
      <c r="H849" t="s">
        <v>1314</v>
      </c>
      <c r="I849">
        <f>MONTH(Table1_1[[#This Row],[Order Date]])</f>
        <v>5</v>
      </c>
      <c r="J849" t="str">
        <f>TEXT(Table1_1[[#This Row],[Order Date]],"[$-en-US]mmm")</f>
        <v>May</v>
      </c>
    </row>
    <row r="850" spans="1:10" x14ac:dyDescent="0.3">
      <c r="A850" t="s">
        <v>899</v>
      </c>
      <c r="B850" s="2">
        <v>45371</v>
      </c>
      <c r="C850" t="s">
        <v>1280</v>
      </c>
      <c r="D850" t="s">
        <v>1290</v>
      </c>
      <c r="E850">
        <v>8</v>
      </c>
      <c r="F850" s="3">
        <v>741</v>
      </c>
      <c r="G850" s="3">
        <v>5928</v>
      </c>
      <c r="H850" t="s">
        <v>1314</v>
      </c>
      <c r="I850">
        <f>MONTH(Table1_1[[#This Row],[Order Date]])</f>
        <v>3</v>
      </c>
      <c r="J850" t="str">
        <f>TEXT(Table1_1[[#This Row],[Order Date]],"[$-en-US]mmm")</f>
        <v>Mar</v>
      </c>
    </row>
    <row r="851" spans="1:10" x14ac:dyDescent="0.3">
      <c r="A851" t="s">
        <v>900</v>
      </c>
      <c r="B851" s="2">
        <v>45318</v>
      </c>
      <c r="C851" t="s">
        <v>1279</v>
      </c>
      <c r="D851" t="s">
        <v>1289</v>
      </c>
      <c r="E851">
        <v>6</v>
      </c>
      <c r="F851" s="3">
        <v>626</v>
      </c>
      <c r="G851" s="3">
        <v>3756</v>
      </c>
      <c r="H851" t="s">
        <v>1315</v>
      </c>
      <c r="I851">
        <f>MONTH(Table1_1[[#This Row],[Order Date]])</f>
        <v>1</v>
      </c>
      <c r="J851" t="str">
        <f>TEXT(Table1_1[[#This Row],[Order Date]],"[$-en-US]mmm")</f>
        <v>Jan</v>
      </c>
    </row>
    <row r="852" spans="1:10" x14ac:dyDescent="0.3">
      <c r="A852" t="s">
        <v>901</v>
      </c>
      <c r="B852" s="2">
        <v>45475</v>
      </c>
      <c r="C852" t="s">
        <v>1282</v>
      </c>
      <c r="D852" t="s">
        <v>1290</v>
      </c>
      <c r="E852">
        <v>10</v>
      </c>
      <c r="F852" s="3">
        <v>578</v>
      </c>
      <c r="G852" s="3">
        <v>5780</v>
      </c>
      <c r="H852" t="s">
        <v>1314</v>
      </c>
      <c r="I852">
        <f>MONTH(Table1_1[[#This Row],[Order Date]])</f>
        <v>7</v>
      </c>
      <c r="J852" t="str">
        <f>TEXT(Table1_1[[#This Row],[Order Date]],"[$-en-US]mmm")</f>
        <v>Jul</v>
      </c>
    </row>
    <row r="853" spans="1:10" x14ac:dyDescent="0.3">
      <c r="A853" t="s">
        <v>902</v>
      </c>
      <c r="B853" s="2">
        <v>45386</v>
      </c>
      <c r="C853" t="s">
        <v>1280</v>
      </c>
      <c r="D853" t="s">
        <v>1290</v>
      </c>
      <c r="E853">
        <v>9</v>
      </c>
      <c r="F853" s="3">
        <v>240</v>
      </c>
      <c r="G853" s="3">
        <v>2160</v>
      </c>
      <c r="H853" t="s">
        <v>1314</v>
      </c>
      <c r="I853">
        <f>MONTH(Table1_1[[#This Row],[Order Date]])</f>
        <v>4</v>
      </c>
      <c r="J853" t="str">
        <f>TEXT(Table1_1[[#This Row],[Order Date]],"[$-en-US]mmm")</f>
        <v>Apr</v>
      </c>
    </row>
    <row r="854" spans="1:10" x14ac:dyDescent="0.3">
      <c r="A854" t="s">
        <v>904</v>
      </c>
      <c r="B854" s="2">
        <v>45401</v>
      </c>
      <c r="C854" t="s">
        <v>1273</v>
      </c>
      <c r="D854" t="s">
        <v>1289</v>
      </c>
      <c r="E854">
        <v>6</v>
      </c>
      <c r="F854" s="3">
        <v>241</v>
      </c>
      <c r="G854" s="3">
        <v>1446</v>
      </c>
      <c r="H854" t="s">
        <v>1315</v>
      </c>
      <c r="I854">
        <f>MONTH(Table1_1[[#This Row],[Order Date]])</f>
        <v>4</v>
      </c>
      <c r="J854" t="str">
        <f>TEXT(Table1_1[[#This Row],[Order Date]],"[$-en-US]mmm")</f>
        <v>Apr</v>
      </c>
    </row>
    <row r="855" spans="1:10" x14ac:dyDescent="0.3">
      <c r="A855" t="s">
        <v>905</v>
      </c>
      <c r="B855" s="2">
        <v>45403</v>
      </c>
      <c r="C855" t="s">
        <v>1280</v>
      </c>
      <c r="D855" t="s">
        <v>1290</v>
      </c>
      <c r="E855">
        <v>6</v>
      </c>
      <c r="F855" s="3">
        <v>315</v>
      </c>
      <c r="G855" s="3">
        <v>1890</v>
      </c>
      <c r="H855" t="s">
        <v>1316</v>
      </c>
      <c r="I855">
        <f>MONTH(Table1_1[[#This Row],[Order Date]])</f>
        <v>4</v>
      </c>
      <c r="J855" t="str">
        <f>TEXT(Table1_1[[#This Row],[Order Date]],"[$-en-US]mmm")</f>
        <v>Apr</v>
      </c>
    </row>
    <row r="856" spans="1:10" x14ac:dyDescent="0.3">
      <c r="A856" t="s">
        <v>906</v>
      </c>
      <c r="B856" s="2">
        <v>45469</v>
      </c>
      <c r="C856" t="s">
        <v>1276</v>
      </c>
      <c r="D856" t="s">
        <v>1290</v>
      </c>
      <c r="E856">
        <v>2</v>
      </c>
      <c r="F856" s="3">
        <v>699</v>
      </c>
      <c r="G856" s="3">
        <v>1398</v>
      </c>
      <c r="H856" t="s">
        <v>1316</v>
      </c>
      <c r="I856">
        <f>MONTH(Table1_1[[#This Row],[Order Date]])</f>
        <v>6</v>
      </c>
      <c r="J856" t="str">
        <f>TEXT(Table1_1[[#This Row],[Order Date]],"[$-en-US]mmm")</f>
        <v>Jun</v>
      </c>
    </row>
    <row r="857" spans="1:10" x14ac:dyDescent="0.3">
      <c r="A857" t="s">
        <v>907</v>
      </c>
      <c r="B857" s="2">
        <v>45416</v>
      </c>
      <c r="C857" t="s">
        <v>1274</v>
      </c>
      <c r="D857" t="s">
        <v>1290</v>
      </c>
      <c r="E857">
        <v>10</v>
      </c>
      <c r="F857" s="3">
        <v>651</v>
      </c>
      <c r="G857" s="3">
        <v>6510</v>
      </c>
      <c r="H857" t="s">
        <v>1314</v>
      </c>
      <c r="I857">
        <f>MONTH(Table1_1[[#This Row],[Order Date]])</f>
        <v>5</v>
      </c>
      <c r="J857" t="str">
        <f>TEXT(Table1_1[[#This Row],[Order Date]],"[$-en-US]mmm")</f>
        <v>May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90CC3C-703C-4B3A-925F-BB7223D353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Report</vt:lpstr>
      <vt:lpstr>Data Raw</vt:lpstr>
      <vt:lpstr>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. AYALA SANTOS</cp:lastModifiedBy>
  <dcterms:created xsi:type="dcterms:W3CDTF">2025-12-16T21:23:35Z</dcterms:created>
  <dcterms:modified xsi:type="dcterms:W3CDTF">2026-01-06T22:39:26Z</dcterms:modified>
</cp:coreProperties>
</file>
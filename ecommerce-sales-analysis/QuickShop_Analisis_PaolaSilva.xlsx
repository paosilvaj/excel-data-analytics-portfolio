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tas_Raw" sheetId="1" r:id="rId4"/>
    <sheet state="visible" name="Ventas_Limpias" sheetId="2" r:id="rId5"/>
    <sheet state="visible" name="Análisis_Ventas" sheetId="3" r:id="rId6"/>
    <sheet state="visible" name="Dashboard" sheetId="4" r:id="rId7"/>
    <sheet state="visible" name="Conclusiones" sheetId="5" r:id="rId8"/>
  </sheets>
  <definedNames>
    <definedName hidden="1" localSheetId="1" name="_xlnm._FilterDatabase">Ventas_Limpias!$A$1:$H$31</definedName>
    <definedName hidden="1" localSheetId="1" name="Z_5F2DF586_183E_4FC9_8DDE_40FF489D594F_.wvu.FilterData">Ventas_Limpias!$A$1:$H$31</definedName>
  </definedNames>
  <calcPr/>
  <customWorkbookViews>
    <customWorkbookView activeSheetId="0" maximized="1" windowHeight="0" windowWidth="0" guid="{5F2DF586-183E-4FC9-8DDE-40FF489D594F}" name="Filtro 1"/>
  </customWorkbookViews>
  <pivotCaches>
    <pivotCache cacheId="0" r:id="rId9"/>
  </pivotCaches>
  <extLst>
    <ext uri="GoogleSheetsCustomDataVersion2">
      <go:sheetsCustomData xmlns:go="http://customooxmlschemas.google.com/" r:id="rId10" roundtripDataChecksum="ALUBqKfNVEyiLo+UMePQNiNvw7hOgJJn6SRk23CZ8Js="/>
    </ext>
  </extLst>
</workbook>
</file>

<file path=xl/sharedStrings.xml><?xml version="1.0" encoding="utf-8"?>
<sst xmlns="http://schemas.openxmlformats.org/spreadsheetml/2006/main" count="565" uniqueCount="125">
  <si>
    <t>ID_Transaccion</t>
  </si>
  <si>
    <t>Fecha</t>
  </si>
  <si>
    <t>Categoria</t>
  </si>
  <si>
    <t>Producto</t>
  </si>
  <si>
    <t>Precio</t>
  </si>
  <si>
    <t>Canal</t>
  </si>
  <si>
    <t>Region</t>
  </si>
  <si>
    <t>VT001</t>
  </si>
  <si>
    <t>2024-10-01</t>
  </si>
  <si>
    <t>electrónica</t>
  </si>
  <si>
    <t>Audífonos Bluetooth</t>
  </si>
  <si>
    <t>web</t>
  </si>
  <si>
    <t>Metropolitana</t>
  </si>
  <si>
    <t>VT002</t>
  </si>
  <si>
    <t>HOGAR</t>
  </si>
  <si>
    <t>Aspiradora Robot</t>
  </si>
  <si>
    <t>App</t>
  </si>
  <si>
    <t>Valparaíso</t>
  </si>
  <si>
    <t>VT003</t>
  </si>
  <si>
    <t>2024-10-02</t>
  </si>
  <si>
    <t xml:space="preserve"> Moda </t>
  </si>
  <si>
    <t>Zapatillas Running</t>
  </si>
  <si>
    <t>WEB</t>
  </si>
  <si>
    <t>VT004</t>
  </si>
  <si>
    <t>Deportes</t>
  </si>
  <si>
    <t>Pelota de Fútbol</t>
  </si>
  <si>
    <t>app</t>
  </si>
  <si>
    <t>Biobío</t>
  </si>
  <si>
    <t>VT005</t>
  </si>
  <si>
    <t>2024-10-03</t>
  </si>
  <si>
    <t>ELECTRÓNICA</t>
  </si>
  <si>
    <t>Mouse Gaming</t>
  </si>
  <si>
    <t>VT006</t>
  </si>
  <si>
    <t>hogar</t>
  </si>
  <si>
    <t>Juego de Sábanas</t>
  </si>
  <si>
    <t>móvil</t>
  </si>
  <si>
    <t>VT007</t>
  </si>
  <si>
    <t>2024-10-04</t>
  </si>
  <si>
    <t>Moda</t>
  </si>
  <si>
    <t>Chaqueta Invierno</t>
  </si>
  <si>
    <t>Web</t>
  </si>
  <si>
    <t>Araucanía</t>
  </si>
  <si>
    <t>VT008</t>
  </si>
  <si>
    <t xml:space="preserve"> deportes</t>
  </si>
  <si>
    <t>Bicicleta MTB</t>
  </si>
  <si>
    <t>APP</t>
  </si>
  <si>
    <t>VT009</t>
  </si>
  <si>
    <t>2024-10-05</t>
  </si>
  <si>
    <t>Electrónica</t>
  </si>
  <si>
    <t>Smart TV 55"</t>
  </si>
  <si>
    <t>VT010</t>
  </si>
  <si>
    <t>MODA</t>
  </si>
  <si>
    <t>Jeans Slim Fit</t>
  </si>
  <si>
    <t>VT011</t>
  </si>
  <si>
    <t>2024-10-06</t>
  </si>
  <si>
    <t xml:space="preserve">Hogar </t>
  </si>
  <si>
    <t>Microondas Digital</t>
  </si>
  <si>
    <t>Coquimbo</t>
  </si>
  <si>
    <t>VT012</t>
  </si>
  <si>
    <t>deportes</t>
  </si>
  <si>
    <t>Pesas Ajustables</t>
  </si>
  <si>
    <t>VT013</t>
  </si>
  <si>
    <t>2024-10-07</t>
  </si>
  <si>
    <t>Tablet 10"</t>
  </si>
  <si>
    <t>VT014</t>
  </si>
  <si>
    <t>moda</t>
  </si>
  <si>
    <t>Cartera Cuero</t>
  </si>
  <si>
    <t>VT015</t>
  </si>
  <si>
    <t>2024-10-08</t>
  </si>
  <si>
    <t xml:space="preserve"> HOGAR</t>
  </si>
  <si>
    <t>Cafetera Express</t>
  </si>
  <si>
    <t>VT016</t>
  </si>
  <si>
    <t>Cuerda para Saltar</t>
  </si>
  <si>
    <t>VT017</t>
  </si>
  <si>
    <t>2024-10-09</t>
  </si>
  <si>
    <t>Cargador Inalámbrico</t>
  </si>
  <si>
    <t>VT018</t>
  </si>
  <si>
    <t>Reloj Deportivo</t>
  </si>
  <si>
    <t>VT019</t>
  </si>
  <si>
    <t>2024-10-10</t>
  </si>
  <si>
    <t>Set Ollas Acero</t>
  </si>
  <si>
    <t>VT020</t>
  </si>
  <si>
    <t xml:space="preserve"> Deportes </t>
  </si>
  <si>
    <t>Colchoneta Yoga</t>
  </si>
  <si>
    <t>VT021</t>
  </si>
  <si>
    <t>2024-10-11</t>
  </si>
  <si>
    <t>Teclado Mecánico</t>
  </si>
  <si>
    <t>VT022</t>
  </si>
  <si>
    <t>Mochila Laptop</t>
  </si>
  <si>
    <t>VT023</t>
  </si>
  <si>
    <t>2024-10-12</t>
  </si>
  <si>
    <t>Ventilador Torre</t>
  </si>
  <si>
    <t>VT024</t>
  </si>
  <si>
    <t>Guantes Gimnasio</t>
  </si>
  <si>
    <t>VT025</t>
  </si>
  <si>
    <t>2024-10-13</t>
  </si>
  <si>
    <t xml:space="preserve"> Electrónica</t>
  </si>
  <si>
    <t>Parlante Bluetooth</t>
  </si>
  <si>
    <t>VT026</t>
  </si>
  <si>
    <t>Polera Deportiva</t>
  </si>
  <si>
    <t>VT027</t>
  </si>
  <si>
    <t>2024-10-14</t>
  </si>
  <si>
    <t>Hogar</t>
  </si>
  <si>
    <t>Plancha Vapor</t>
  </si>
  <si>
    <t>VT028</t>
  </si>
  <si>
    <t>Bolso Deporte</t>
  </si>
  <si>
    <t>VT029</t>
  </si>
  <si>
    <t>2024-10-15</t>
  </si>
  <si>
    <t>Webcam HD</t>
  </si>
  <si>
    <t>VT030</t>
  </si>
  <si>
    <t>Gorro Invierno</t>
  </si>
  <si>
    <t>Mes</t>
  </si>
  <si>
    <t>No especificado</t>
  </si>
  <si>
    <t>Total de ventas por categoría</t>
  </si>
  <si>
    <t>Clasificación</t>
  </si>
  <si>
    <t>Categoría</t>
  </si>
  <si>
    <t>Total Ventas</t>
  </si>
  <si>
    <t>Ticket promedio por canal</t>
  </si>
  <si>
    <t>Ticket Promedio</t>
  </si>
  <si>
    <t>Transacciones &gt; $50.000</t>
  </si>
  <si>
    <t xml:space="preserve"> Ventas totales por Categoría y Canal</t>
  </si>
  <si>
    <t>SUM de Precio</t>
  </si>
  <si>
    <t>Suma total</t>
  </si>
  <si>
    <t>Conclusiones</t>
  </si>
  <si>
    <t>El análisis de ventas muestra que la categoría Electrónica es la que genera mayores ingresos, con un total de $1.103.000. Este resultado está impulsado principalmente por el canal Web, que presenta un desempeño significativamente superior al canal App en esta categoría.
En cuanto al comportamiento de los tickets de compra, se observa que el canal Web tiende a concentrar ventas de mayor valor, mientras que App presenta un comportamiento más equilibrado o ligeramente inferior en montos promedio. Esto sugiere que los usuarios prefieren realizar compras de mayor valor a través de la web, posiblemente por mayor confianza o facilidad de uso.
Durante el proceso de limpieza de datos, se identificaron varios problemas de calidad, incluyendo registros duplicados, inconsistencias en los nombres de categorías (uso de mayúsculas y espacios), variaciones en el campo canal (web, WEB, móvil) y valores faltantes en la región. Estos fueron corregidos mediante la eliminación de duplicados, estandarización de texto, normalización de canales a “Web” y “App”, y completando valores faltantes con “No especificado”.
Como recomendaciones, primero, potenciar el canal Web para categorías de alto valor como Electrónica, optimizando la experiencia de compra y promociones específicas. Segundo, fortalecer el canal App mediante estrategias de incentivo, como descuentos exclusivos o mejoras en la usabilidad, para aumentar el ticket promedio y la conversión.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</si>
</sst>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0"/>
  </numFmts>
  <fonts count="7">
    <font>
      <sz val="12.0"/>
      <color theme="1"/>
      <name val="Calibri"/>
      <scheme val="minor"/>
    </font>
    <font>
      <color theme="1"/>
      <name val="Calibri"/>
    </font>
    <font>
      <b/>
      <color theme="1"/>
      <name val="Calibri"/>
    </font>
    <font>
      <color theme="1"/>
      <name val="Calibri"/>
      <scheme val="minor"/>
    </font>
    <font>
      <b/>
      <color theme="1"/>
      <name val="Calibri"/>
      <scheme val="minor"/>
    </font>
    <font/>
    <font>
      <b/>
      <sz val="13.0"/>
      <color theme="1"/>
      <name val="Calibri"/>
      <scheme val="minor"/>
    </font>
  </fonts>
  <fills count="6">
    <fill>
      <patternFill patternType="none"/>
    </fill>
    <fill>
      <patternFill patternType="lightGray"/>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CFE2F3"/>
        <bgColor rgb="FFCFE2F3"/>
      </patternFill>
    </fill>
  </fills>
  <borders count="1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1" numFmtId="164" xfId="0" applyFont="1" applyNumberFormat="1"/>
    <xf borderId="0" fillId="0" fontId="3" numFmtId="164" xfId="0" applyFont="1" applyNumberFormat="1"/>
    <xf borderId="0" fillId="0" fontId="1" numFmtId="0" xfId="0" applyAlignment="1" applyFont="1">
      <alignment readingOrder="0"/>
    </xf>
    <xf borderId="0" fillId="0" fontId="1" numFmtId="165" xfId="0" applyFont="1" applyNumberFormat="1"/>
    <xf borderId="0" fillId="0" fontId="3" numFmtId="0" xfId="0" applyAlignment="1" applyFont="1">
      <alignment readingOrder="0"/>
    </xf>
    <xf borderId="0" fillId="0" fontId="4" numFmtId="0" xfId="0" applyAlignment="1" applyFont="1">
      <alignment readingOrder="0"/>
    </xf>
    <xf borderId="1" fillId="2" fontId="4" numFmtId="0" xfId="0" applyAlignment="1" applyBorder="1" applyFill="1" applyFont="1">
      <alignment readingOrder="0"/>
    </xf>
    <xf borderId="2" fillId="0" fontId="5" numFmtId="0" xfId="0" applyBorder="1" applyFont="1"/>
    <xf borderId="0" fillId="3" fontId="4" numFmtId="0" xfId="0" applyAlignment="1" applyFill="1" applyFont="1">
      <alignment readingOrder="0"/>
    </xf>
    <xf borderId="0" fillId="0" fontId="4" numFmtId="0" xfId="0" applyAlignment="1" applyFont="1">
      <alignment horizontal="center" readingOrder="0"/>
    </xf>
    <xf borderId="3" fillId="0" fontId="4" numFmtId="0" xfId="0" applyAlignment="1" applyBorder="1" applyFont="1">
      <alignment horizontal="center" readingOrder="0"/>
    </xf>
    <xf borderId="0" fillId="4" fontId="3" numFmtId="0" xfId="0" applyFill="1" applyFont="1"/>
    <xf borderId="3" fillId="0" fontId="3" numFmtId="0" xfId="0" applyAlignment="1" applyBorder="1" applyFont="1">
      <alignment readingOrder="0"/>
    </xf>
    <xf borderId="3" fillId="0" fontId="3" numFmtId="165" xfId="0" applyBorder="1" applyFont="1" applyNumberFormat="1"/>
    <xf borderId="1" fillId="0" fontId="3" numFmtId="0" xfId="0" applyBorder="1" applyFont="1"/>
    <xf borderId="0" fillId="0" fontId="6" numFmtId="0" xfId="0" applyAlignment="1" applyFont="1">
      <alignment horizontal="center" readingOrder="0"/>
    </xf>
    <xf borderId="0" fillId="5" fontId="6" numFmtId="0" xfId="0" applyAlignment="1" applyFill="1" applyFont="1">
      <alignment horizontal="center" readingOrder="0"/>
    </xf>
    <xf borderId="0" fillId="0" fontId="3" numFmtId="0" xfId="0" applyFont="1"/>
    <xf borderId="0" fillId="0" fontId="3" numFmtId="165" xfId="0" applyFont="1" applyNumberFormat="1"/>
    <xf borderId="1" fillId="5" fontId="4" numFmtId="0" xfId="0" applyAlignment="1" applyBorder="1" applyFont="1">
      <alignment readingOrder="0"/>
    </xf>
    <xf borderId="4" fillId="0" fontId="5" numFmtId="0" xfId="0" applyBorder="1" applyFont="1"/>
    <xf borderId="5" fillId="0" fontId="3" numFmtId="0" xfId="0" applyAlignment="1" applyBorder="1" applyFont="1">
      <alignment horizontal="left" readingOrder="0" shrinkToFit="0" vertical="top" wrapText="1"/>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Ventas totales por Categoría y Canal</a:t>
            </a:r>
          </a:p>
        </c:rich>
      </c:tx>
      <c:overlay val="0"/>
    </c:title>
    <c:plotArea>
      <c:layout/>
      <c:barChart>
        <c:barDir val="col"/>
        <c:grouping val="stacked"/>
        <c:ser>
          <c:idx val="0"/>
          <c:order val="0"/>
          <c:tx>
            <c:strRef>
              <c:f>Dashboard!$B$5:$B$7</c:f>
            </c:strRef>
          </c:tx>
          <c:spPr>
            <a:solidFill>
              <a:srgbClr val="8E7CC3"/>
            </a:solidFill>
            <a:ln cmpd="sng">
              <a:solidFill>
                <a:srgbClr val="000000"/>
              </a:solidFill>
            </a:ln>
          </c:spPr>
          <c:dLbls>
            <c:numFmt formatCode="General" sourceLinked="1"/>
            <c:txPr>
              <a:bodyPr/>
              <a:lstStyle/>
              <a:p>
                <a:pPr lvl="0">
                  <a:defRPr>
                    <a:solidFill>
                      <a:srgbClr val="666666"/>
                    </a:solidFill>
                  </a:defRPr>
                </a:pPr>
              </a:p>
            </c:txPr>
            <c:showLegendKey val="0"/>
            <c:showVal val="1"/>
            <c:showCatName val="0"/>
            <c:showSerName val="0"/>
            <c:showPercent val="0"/>
            <c:showBubbleSize val="0"/>
          </c:dLbls>
          <c:cat>
            <c:strRef>
              <c:f>Dashboard!$A$8:$A$11</c:f>
            </c:strRef>
          </c:cat>
          <c:val>
            <c:numRef>
              <c:f>Dashboard!$B$8:$B$11</c:f>
              <c:numCache/>
            </c:numRef>
          </c:val>
        </c:ser>
        <c:ser>
          <c:idx val="1"/>
          <c:order val="1"/>
          <c:tx>
            <c:strRef>
              <c:f>Dashboard!$C$5:$C$7</c:f>
            </c:strRef>
          </c:tx>
          <c:spPr>
            <a:solidFill>
              <a:srgbClr val="93C47D"/>
            </a:solidFill>
            <a:ln cmpd="sng">
              <a:solidFill>
                <a:srgbClr val="000000"/>
              </a:solidFill>
            </a:ln>
          </c:spPr>
          <c:dLbls>
            <c:numFmt formatCode="General" sourceLinked="1"/>
            <c:txPr>
              <a:bodyPr/>
              <a:lstStyle/>
              <a:p>
                <a:pPr lvl="0">
                  <a:defRPr>
                    <a:solidFill>
                      <a:srgbClr val="666666"/>
                    </a:solidFill>
                  </a:defRPr>
                </a:pPr>
              </a:p>
            </c:txPr>
            <c:showLegendKey val="0"/>
            <c:showVal val="1"/>
            <c:showCatName val="0"/>
            <c:showSerName val="0"/>
            <c:showPercent val="0"/>
            <c:showBubbleSize val="0"/>
          </c:dLbls>
          <c:cat>
            <c:strRef>
              <c:f>Dashboard!$A$8:$A$11</c:f>
            </c:strRef>
          </c:cat>
          <c:val>
            <c:numRef>
              <c:f>Dashboard!$C$8:$C$11</c:f>
              <c:numCache/>
            </c:numRef>
          </c:val>
        </c:ser>
        <c:overlap val="100"/>
        <c:axId val="404894714"/>
        <c:axId val="510778394"/>
      </c:barChart>
      <c:catAx>
        <c:axId val="4048947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Categoria</a:t>
                </a:r>
              </a:p>
            </c:rich>
          </c:tx>
          <c:overlay val="0"/>
        </c:title>
        <c:numFmt formatCode="General" sourceLinked="1"/>
        <c:majorTickMark val="none"/>
        <c:minorTickMark val="none"/>
        <c:spPr/>
        <c:txPr>
          <a:bodyPr/>
          <a:lstStyle/>
          <a:p>
            <a:pPr lvl="0">
              <a:defRPr b="0">
                <a:solidFill>
                  <a:srgbClr val="000000"/>
                </a:solidFill>
                <a:latin typeface="+mn-lt"/>
              </a:defRPr>
            </a:pPr>
          </a:p>
        </c:txPr>
        <c:crossAx val="510778394"/>
      </c:catAx>
      <c:valAx>
        <c:axId val="510778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4894714"/>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12</xdr:row>
      <xdr:rowOff>171450</xdr:rowOff>
    </xdr:from>
    <xdr:ext cx="5715000" cy="4543425"/>
    <xdr:graphicFrame>
      <xdr:nvGraphicFramePr>
        <xdr:cNvPr id="5384093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31" sheet="Ventas_Limpias"/>
  </cacheSource>
  <cacheFields>
    <cacheField name="ID_Transaccion" numFmtId="0">
      <sharedItems>
        <s v="VT001"/>
        <s v="VT002"/>
        <s v="VT003"/>
        <s v="VT004"/>
        <s v="VT005"/>
        <s v="VT006"/>
        <s v="VT007"/>
        <s v="VT008"/>
        <s v="VT009"/>
        <s v="VT010"/>
        <s v="VT011"/>
        <s v="VT012"/>
        <s v="VT013"/>
        <s v="VT014"/>
        <s v="VT015"/>
        <s v="VT016"/>
        <s v="VT017"/>
        <s v="VT018"/>
        <s v="VT019"/>
        <s v="VT020"/>
        <s v="VT021"/>
        <s v="VT022"/>
        <s v="VT023"/>
        <s v="VT024"/>
        <s v="VT025"/>
        <s v="VT026"/>
        <s v="VT027"/>
        <s v="VT028"/>
        <s v="VT029"/>
        <s v="VT030"/>
      </sharedItems>
    </cacheField>
    <cacheField name="Fecha" numFmtId="164">
      <sharedItems containsSemiMixedTypes="0" containsDate="1" containsString="0">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sharedItems>
    </cacheField>
    <cacheField name="Mes" numFmtId="164">
      <sharedItems>
        <s v="octubre"/>
      </sharedItems>
    </cacheField>
    <cacheField name="Categoria" numFmtId="0">
      <sharedItems>
        <s v="Electrónica"/>
        <s v="Hogar"/>
        <s v="Moda"/>
        <s v="Deportes"/>
      </sharedItems>
    </cacheField>
    <cacheField name="Producto" numFmtId="0">
      <sharedItems>
        <s v="Audífonos Bluetooth"/>
        <s v="Aspiradora Robot"/>
        <s v="Zapatillas Running"/>
        <s v="Pelota de Fútbol"/>
        <s v="Mouse Gaming"/>
        <s v="Juego de Sábanas"/>
        <s v="Chaqueta Invierno"/>
        <s v="Bicicleta MTB"/>
        <s v="Smart TV 55&quot;"/>
        <s v="Jeans Slim Fit"/>
        <s v="Microondas Digital"/>
        <s v="Pesas Ajustables"/>
        <s v="Tablet 10&quot;"/>
        <s v="Cartera Cuero"/>
        <s v="Cafetera Express"/>
        <s v="Cuerda para Saltar"/>
        <s v="Cargador Inalámbrico"/>
        <s v="Reloj Deportivo"/>
        <s v="Set Ollas Acero"/>
        <s v="Colchoneta Yoga"/>
        <s v="Teclado Mecánico"/>
        <s v="Mochila Laptop"/>
        <s v="Ventilador Torre"/>
        <s v="Guantes Gimnasio"/>
        <s v="Parlante Bluetooth"/>
        <s v="Polera Deportiva"/>
        <s v="Plancha Vapor"/>
        <s v="Bolso Deporte"/>
      </sharedItems>
    </cacheField>
    <cacheField name="Precio" numFmtId="165">
      <sharedItems containsSemiMixedTypes="0" containsString="0" containsNumber="1" containsInteger="1">
        <n v="45000.0"/>
        <n v="189000.0"/>
        <n v="65000.0"/>
        <n v="25000.0"/>
        <n v="38000.0"/>
        <n v="42000.0"/>
        <n v="95000.0"/>
        <n v="320000.0"/>
        <n v="450000.0"/>
        <n v="52000.0"/>
        <n v="85000.0"/>
        <n v="78000.0"/>
        <n v="185000.0"/>
        <n v="48000.0"/>
        <n v="125000.0"/>
        <n v="12000.0"/>
        <n v="28000.0"/>
        <n v="110000.0"/>
        <n v="32000.0"/>
        <n v="72000.0"/>
        <n v="58000.0"/>
        <n v="68000.0"/>
        <n v="18000.0"/>
        <n v="55000.0"/>
      </sharedItems>
    </cacheField>
    <cacheField name="Canal" numFmtId="0">
      <sharedItems>
        <s v="Web"/>
        <s v="App"/>
      </sharedItems>
    </cacheField>
    <cacheField name="Region" numFmtId="0">
      <sharedItems>
        <s v="Metropolitana"/>
        <s v="Valparaíso"/>
        <s v="No especificado"/>
        <s v="Biobío"/>
        <s v="Araucanía"/>
        <s v="Coquimb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A6:D12" firstHeaderRow="0" firstDataRow="1" firstDataCol="1" rowPageCount="1" colPageCount="1"/>
  <pivotFields>
    <pivotField name="ID_Transac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Fecha" axis="axisPage" compact="0" numFmtId="164" outline="0" multipleItemSelectionAllowed="1" showAll="0">
      <items>
        <item x="0"/>
        <item x="1"/>
        <item x="2"/>
        <item x="3"/>
        <item x="4"/>
        <item x="5"/>
        <item x="6"/>
        <item x="7"/>
        <item x="8"/>
        <item x="9"/>
        <item x="10"/>
        <item x="11"/>
        <item x="12"/>
        <item x="13"/>
        <item t="default"/>
      </items>
    </pivotField>
    <pivotField name="Mes" compact="0" numFmtId="164" outline="0" multipleItemSelectionAllowed="1" showAll="0">
      <items>
        <item x="0"/>
        <item t="default"/>
      </items>
    </pivotField>
    <pivotField name="Categoria" axis="axisRow" compact="0" outline="0" multipleItemSelectionAllowed="1" showAll="0" sortType="ascending">
      <items>
        <item x="3"/>
        <item x="0"/>
        <item x="1"/>
        <item x="2"/>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reci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nal" axis="axisCol" compact="0" outline="0" multipleItemSelectionAllowed="1" showAll="0" sortType="ascending">
      <items>
        <item x="1"/>
        <item x="0"/>
        <item t="default"/>
      </items>
    </pivotField>
    <pivotField name="Region" compact="0" outline="0" multipleItemSelectionAllowed="1" showAll="0">
      <items>
        <item x="0"/>
        <item x="1"/>
        <item x="2"/>
        <item x="3"/>
        <item x="4"/>
        <item x="5"/>
        <item t="default"/>
      </items>
    </pivotField>
  </pivotFields>
  <rowFields>
    <field x="3"/>
  </rowFields>
  <colFields>
    <field x="6"/>
  </colFields>
  <pageFields>
    <pageField fld="1"/>
  </pageFields>
  <dataFields>
    <dataField name="SUM of Precio"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5.78"/>
    <col customWidth="1" min="2" max="2" width="12.78"/>
    <col customWidth="1" min="3" max="3" width="15.78"/>
    <col customWidth="1" min="4" max="4" width="25.78"/>
    <col customWidth="1" min="5" max="5" width="12.78"/>
    <col customWidth="1" min="6" max="6" width="10.78"/>
    <col customWidth="1" min="7" max="7" width="15.78"/>
  </cols>
  <sheetData>
    <row r="1">
      <c r="A1" s="1" t="s">
        <v>0</v>
      </c>
      <c r="B1" s="1" t="s">
        <v>1</v>
      </c>
      <c r="C1" s="1" t="s">
        <v>2</v>
      </c>
      <c r="D1" s="1" t="s">
        <v>3</v>
      </c>
      <c r="E1" s="1" t="s">
        <v>4</v>
      </c>
      <c r="F1" s="1" t="s">
        <v>5</v>
      </c>
      <c r="G1" s="1" t="s">
        <v>6</v>
      </c>
    </row>
    <row r="2">
      <c r="A2" s="1" t="s">
        <v>7</v>
      </c>
      <c r="B2" s="1" t="s">
        <v>8</v>
      </c>
      <c r="C2" s="1" t="s">
        <v>9</v>
      </c>
      <c r="D2" s="1" t="s">
        <v>10</v>
      </c>
      <c r="E2" s="1">
        <v>45000.0</v>
      </c>
      <c r="F2" s="1" t="s">
        <v>11</v>
      </c>
      <c r="G2" s="1" t="s">
        <v>12</v>
      </c>
    </row>
    <row r="3">
      <c r="A3" s="1" t="s">
        <v>13</v>
      </c>
      <c r="B3" s="1" t="s">
        <v>8</v>
      </c>
      <c r="C3" s="1" t="s">
        <v>14</v>
      </c>
      <c r="D3" s="1" t="s">
        <v>15</v>
      </c>
      <c r="E3" s="1">
        <v>189000.0</v>
      </c>
      <c r="F3" s="1" t="s">
        <v>16</v>
      </c>
      <c r="G3" s="1" t="s">
        <v>17</v>
      </c>
    </row>
    <row r="4">
      <c r="A4" s="1" t="s">
        <v>18</v>
      </c>
      <c r="B4" s="1" t="s">
        <v>19</v>
      </c>
      <c r="C4" s="1" t="s">
        <v>20</v>
      </c>
      <c r="D4" s="1" t="s">
        <v>21</v>
      </c>
      <c r="E4" s="1">
        <v>65000.0</v>
      </c>
      <c r="F4" s="1" t="s">
        <v>22</v>
      </c>
    </row>
    <row r="5">
      <c r="A5" s="1" t="s">
        <v>23</v>
      </c>
      <c r="B5" s="1" t="s">
        <v>19</v>
      </c>
      <c r="C5" s="1" t="s">
        <v>24</v>
      </c>
      <c r="D5" s="1" t="s">
        <v>25</v>
      </c>
      <c r="E5" s="1">
        <v>25000.0</v>
      </c>
      <c r="F5" s="1" t="s">
        <v>26</v>
      </c>
      <c r="G5" s="1" t="s">
        <v>27</v>
      </c>
    </row>
    <row r="6">
      <c r="A6" s="1" t="s">
        <v>28</v>
      </c>
      <c r="B6" s="1" t="s">
        <v>29</v>
      </c>
      <c r="C6" s="1" t="s">
        <v>30</v>
      </c>
      <c r="D6" s="1" t="s">
        <v>31</v>
      </c>
      <c r="E6" s="1">
        <v>38000.0</v>
      </c>
      <c r="F6" s="1" t="s">
        <v>11</v>
      </c>
      <c r="G6" s="1" t="s">
        <v>12</v>
      </c>
    </row>
    <row r="7">
      <c r="A7" s="1" t="s">
        <v>32</v>
      </c>
      <c r="B7" s="1" t="s">
        <v>29</v>
      </c>
      <c r="C7" s="1" t="s">
        <v>33</v>
      </c>
      <c r="D7" s="1" t="s">
        <v>34</v>
      </c>
      <c r="E7" s="1">
        <v>42000.0</v>
      </c>
      <c r="F7" s="1" t="s">
        <v>35</v>
      </c>
    </row>
    <row r="8">
      <c r="A8" s="1" t="s">
        <v>7</v>
      </c>
      <c r="B8" s="1" t="s">
        <v>8</v>
      </c>
      <c r="C8" s="1" t="s">
        <v>9</v>
      </c>
      <c r="D8" s="1" t="s">
        <v>10</v>
      </c>
      <c r="E8" s="1">
        <v>45000.0</v>
      </c>
      <c r="F8" s="1" t="s">
        <v>11</v>
      </c>
      <c r="G8" s="1" t="s">
        <v>12</v>
      </c>
    </row>
    <row r="9">
      <c r="A9" s="1" t="s">
        <v>36</v>
      </c>
      <c r="B9" s="1" t="s">
        <v>37</v>
      </c>
      <c r="C9" s="1" t="s">
        <v>38</v>
      </c>
      <c r="D9" s="1" t="s">
        <v>39</v>
      </c>
      <c r="E9" s="1">
        <v>95000.0</v>
      </c>
      <c r="F9" s="1" t="s">
        <v>40</v>
      </c>
      <c r="G9" s="1" t="s">
        <v>41</v>
      </c>
    </row>
    <row r="10">
      <c r="A10" s="1" t="s">
        <v>42</v>
      </c>
      <c r="B10" s="1" t="s">
        <v>37</v>
      </c>
      <c r="C10" s="1" t="s">
        <v>43</v>
      </c>
      <c r="D10" s="1" t="s">
        <v>44</v>
      </c>
      <c r="E10" s="1">
        <v>320000.0</v>
      </c>
      <c r="F10" s="1" t="s">
        <v>45</v>
      </c>
      <c r="G10" s="1" t="s">
        <v>12</v>
      </c>
    </row>
    <row r="11">
      <c r="A11" s="1" t="s">
        <v>46</v>
      </c>
      <c r="B11" s="1" t="s">
        <v>47</v>
      </c>
      <c r="C11" s="1" t="s">
        <v>48</v>
      </c>
      <c r="D11" s="1" t="s">
        <v>49</v>
      </c>
      <c r="E11" s="1">
        <v>450000.0</v>
      </c>
      <c r="F11" s="1" t="s">
        <v>11</v>
      </c>
      <c r="G11" s="1" t="s">
        <v>17</v>
      </c>
    </row>
    <row r="12">
      <c r="A12" s="1" t="s">
        <v>50</v>
      </c>
      <c r="B12" s="1" t="s">
        <v>47</v>
      </c>
      <c r="C12" s="1" t="s">
        <v>51</v>
      </c>
      <c r="D12" s="1" t="s">
        <v>52</v>
      </c>
      <c r="E12" s="1">
        <v>52000.0</v>
      </c>
      <c r="F12" s="1" t="s">
        <v>26</v>
      </c>
    </row>
    <row r="13">
      <c r="A13" s="1" t="s">
        <v>53</v>
      </c>
      <c r="B13" s="1" t="s">
        <v>54</v>
      </c>
      <c r="C13" s="1" t="s">
        <v>55</v>
      </c>
      <c r="D13" s="1" t="s">
        <v>56</v>
      </c>
      <c r="E13" s="1">
        <v>85000.0</v>
      </c>
      <c r="F13" s="1" t="s">
        <v>40</v>
      </c>
      <c r="G13" s="1" t="s">
        <v>57</v>
      </c>
    </row>
    <row r="14">
      <c r="A14" s="1" t="s">
        <v>58</v>
      </c>
      <c r="B14" s="1" t="s">
        <v>54</v>
      </c>
      <c r="C14" s="1" t="s">
        <v>59</v>
      </c>
      <c r="D14" s="1" t="s">
        <v>60</v>
      </c>
      <c r="E14" s="1">
        <v>78000.0</v>
      </c>
      <c r="F14" s="1" t="s">
        <v>22</v>
      </c>
      <c r="G14" s="1" t="s">
        <v>12</v>
      </c>
    </row>
    <row r="15">
      <c r="A15" s="1" t="s">
        <v>61</v>
      </c>
      <c r="B15" s="1" t="s">
        <v>62</v>
      </c>
      <c r="C15" s="1" t="s">
        <v>48</v>
      </c>
      <c r="D15" s="1" t="s">
        <v>63</v>
      </c>
      <c r="E15" s="1">
        <v>185000.0</v>
      </c>
      <c r="F15" s="1" t="s">
        <v>26</v>
      </c>
      <c r="G15" s="1" t="s">
        <v>27</v>
      </c>
    </row>
    <row r="16">
      <c r="A16" s="1" t="s">
        <v>64</v>
      </c>
      <c r="B16" s="1" t="s">
        <v>62</v>
      </c>
      <c r="C16" s="1" t="s">
        <v>65</v>
      </c>
      <c r="D16" s="1" t="s">
        <v>66</v>
      </c>
      <c r="E16" s="1">
        <v>48000.0</v>
      </c>
      <c r="F16" s="1" t="s">
        <v>35</v>
      </c>
    </row>
    <row r="17">
      <c r="A17" s="1" t="s">
        <v>67</v>
      </c>
      <c r="B17" s="1" t="s">
        <v>68</v>
      </c>
      <c r="C17" s="1" t="s">
        <v>69</v>
      </c>
      <c r="D17" s="1" t="s">
        <v>70</v>
      </c>
      <c r="E17" s="1">
        <v>125000.0</v>
      </c>
      <c r="F17" s="1" t="s">
        <v>40</v>
      </c>
      <c r="G17" s="1" t="s">
        <v>17</v>
      </c>
    </row>
    <row r="18">
      <c r="A18" s="1" t="s">
        <v>71</v>
      </c>
      <c r="B18" s="1" t="s">
        <v>68</v>
      </c>
      <c r="C18" s="1" t="s">
        <v>24</v>
      </c>
      <c r="D18" s="1" t="s">
        <v>72</v>
      </c>
      <c r="E18" s="1">
        <v>12000.0</v>
      </c>
      <c r="F18" s="1" t="s">
        <v>26</v>
      </c>
      <c r="G18" s="1" t="s">
        <v>12</v>
      </c>
    </row>
    <row r="19">
      <c r="A19" s="1" t="s">
        <v>73</v>
      </c>
      <c r="B19" s="1" t="s">
        <v>74</v>
      </c>
      <c r="C19" s="1" t="s">
        <v>9</v>
      </c>
      <c r="D19" s="1" t="s">
        <v>75</v>
      </c>
      <c r="E19" s="1">
        <v>28000.0</v>
      </c>
      <c r="F19" s="1" t="s">
        <v>22</v>
      </c>
      <c r="G19" s="1" t="s">
        <v>41</v>
      </c>
    </row>
    <row r="20">
      <c r="A20" s="1" t="s">
        <v>76</v>
      </c>
      <c r="B20" s="1" t="s">
        <v>74</v>
      </c>
      <c r="C20" s="1" t="s">
        <v>38</v>
      </c>
      <c r="D20" s="1" t="s">
        <v>77</v>
      </c>
      <c r="E20" s="1">
        <v>110000.0</v>
      </c>
      <c r="F20" s="1" t="s">
        <v>40</v>
      </c>
    </row>
    <row r="21" ht="15.75" customHeight="1">
      <c r="A21" s="1" t="s">
        <v>78</v>
      </c>
      <c r="B21" s="1" t="s">
        <v>79</v>
      </c>
      <c r="C21" s="1" t="s">
        <v>33</v>
      </c>
      <c r="D21" s="1" t="s">
        <v>80</v>
      </c>
      <c r="E21" s="1">
        <v>95000.0</v>
      </c>
      <c r="F21" s="1" t="s">
        <v>26</v>
      </c>
      <c r="G21" s="1" t="s">
        <v>57</v>
      </c>
    </row>
    <row r="22" ht="15.75" customHeight="1">
      <c r="A22" s="1" t="s">
        <v>81</v>
      </c>
      <c r="B22" s="1" t="s">
        <v>79</v>
      </c>
      <c r="C22" s="1" t="s">
        <v>82</v>
      </c>
      <c r="D22" s="1" t="s">
        <v>83</v>
      </c>
      <c r="E22" s="1">
        <v>32000.0</v>
      </c>
      <c r="F22" s="1" t="s">
        <v>35</v>
      </c>
      <c r="G22" s="1" t="s">
        <v>12</v>
      </c>
    </row>
    <row r="23" ht="15.75" customHeight="1">
      <c r="A23" s="1" t="s">
        <v>84</v>
      </c>
      <c r="B23" s="1" t="s">
        <v>85</v>
      </c>
      <c r="C23" s="1" t="s">
        <v>30</v>
      </c>
      <c r="D23" s="1" t="s">
        <v>86</v>
      </c>
      <c r="E23" s="1">
        <v>72000.0</v>
      </c>
      <c r="F23" s="1" t="s">
        <v>11</v>
      </c>
      <c r="G23" s="1" t="s">
        <v>17</v>
      </c>
    </row>
    <row r="24" ht="15.75" customHeight="1">
      <c r="A24" s="1" t="s">
        <v>87</v>
      </c>
      <c r="B24" s="1" t="s">
        <v>85</v>
      </c>
      <c r="C24" s="1" t="s">
        <v>38</v>
      </c>
      <c r="D24" s="1" t="s">
        <v>88</v>
      </c>
      <c r="E24" s="1">
        <v>58000.0</v>
      </c>
      <c r="F24" s="1" t="s">
        <v>16</v>
      </c>
      <c r="G24" s="1" t="s">
        <v>27</v>
      </c>
    </row>
    <row r="25" ht="15.75" customHeight="1">
      <c r="A25" s="1" t="s">
        <v>61</v>
      </c>
      <c r="B25" s="1" t="s">
        <v>62</v>
      </c>
      <c r="C25" s="1" t="s">
        <v>48</v>
      </c>
      <c r="D25" s="1" t="s">
        <v>63</v>
      </c>
      <c r="E25" s="1">
        <v>185000.0</v>
      </c>
      <c r="F25" s="1" t="s">
        <v>26</v>
      </c>
      <c r="G25" s="1" t="s">
        <v>27</v>
      </c>
    </row>
    <row r="26" ht="15.75" customHeight="1">
      <c r="A26" s="1" t="s">
        <v>89</v>
      </c>
      <c r="B26" s="1" t="s">
        <v>90</v>
      </c>
      <c r="C26" s="1" t="s">
        <v>33</v>
      </c>
      <c r="D26" s="1" t="s">
        <v>91</v>
      </c>
      <c r="E26" s="1">
        <v>68000.0</v>
      </c>
      <c r="F26" s="1" t="s">
        <v>22</v>
      </c>
    </row>
    <row r="27" ht="15.75" customHeight="1">
      <c r="A27" s="1" t="s">
        <v>92</v>
      </c>
      <c r="B27" s="1" t="s">
        <v>90</v>
      </c>
      <c r="C27" s="1" t="s">
        <v>59</v>
      </c>
      <c r="D27" s="1" t="s">
        <v>93</v>
      </c>
      <c r="E27" s="1">
        <v>18000.0</v>
      </c>
      <c r="F27" s="1" t="s">
        <v>26</v>
      </c>
      <c r="G27" s="1" t="s">
        <v>12</v>
      </c>
    </row>
    <row r="28" ht="15.75" customHeight="1">
      <c r="A28" s="1" t="s">
        <v>94</v>
      </c>
      <c r="B28" s="1" t="s">
        <v>95</v>
      </c>
      <c r="C28" s="1" t="s">
        <v>96</v>
      </c>
      <c r="D28" s="1" t="s">
        <v>97</v>
      </c>
      <c r="E28" s="1">
        <v>55000.0</v>
      </c>
      <c r="F28" s="1" t="s">
        <v>40</v>
      </c>
      <c r="G28" s="1" t="s">
        <v>41</v>
      </c>
    </row>
    <row r="29" ht="15.75" customHeight="1">
      <c r="A29" s="1" t="s">
        <v>98</v>
      </c>
      <c r="B29" s="1" t="s">
        <v>95</v>
      </c>
      <c r="C29" s="1" t="s">
        <v>51</v>
      </c>
      <c r="D29" s="1" t="s">
        <v>99</v>
      </c>
      <c r="E29" s="1">
        <v>28000.0</v>
      </c>
      <c r="F29" s="1" t="s">
        <v>35</v>
      </c>
      <c r="G29" s="1" t="s">
        <v>17</v>
      </c>
    </row>
    <row r="30" ht="15.75" customHeight="1">
      <c r="A30" s="1" t="s">
        <v>100</v>
      </c>
      <c r="B30" s="1" t="s">
        <v>101</v>
      </c>
      <c r="C30" s="1" t="s">
        <v>102</v>
      </c>
      <c r="D30" s="1" t="s">
        <v>103</v>
      </c>
      <c r="E30" s="1">
        <v>45000.0</v>
      </c>
      <c r="F30" s="1" t="s">
        <v>11</v>
      </c>
    </row>
    <row r="31" ht="15.75" customHeight="1">
      <c r="A31" s="1" t="s">
        <v>104</v>
      </c>
      <c r="B31" s="1" t="s">
        <v>101</v>
      </c>
      <c r="C31" s="1" t="s">
        <v>24</v>
      </c>
      <c r="D31" s="1" t="s">
        <v>105</v>
      </c>
      <c r="E31" s="1">
        <v>38000.0</v>
      </c>
      <c r="F31" s="1" t="s">
        <v>45</v>
      </c>
      <c r="G31" s="1" t="s">
        <v>57</v>
      </c>
    </row>
    <row r="32" ht="15.75" customHeight="1">
      <c r="A32" s="1" t="s">
        <v>106</v>
      </c>
      <c r="B32" s="1" t="s">
        <v>107</v>
      </c>
      <c r="C32" s="1" t="s">
        <v>9</v>
      </c>
      <c r="D32" s="1" t="s">
        <v>108</v>
      </c>
      <c r="E32" s="1">
        <v>62000.0</v>
      </c>
      <c r="F32" s="1" t="s">
        <v>40</v>
      </c>
      <c r="G32" s="1" t="s">
        <v>12</v>
      </c>
    </row>
    <row r="33" ht="15.75" customHeight="1">
      <c r="A33" s="1" t="s">
        <v>109</v>
      </c>
      <c r="B33" s="1" t="s">
        <v>107</v>
      </c>
      <c r="C33" s="1" t="s">
        <v>65</v>
      </c>
      <c r="D33" s="1" t="s">
        <v>110</v>
      </c>
      <c r="E33" s="1">
        <v>22000.0</v>
      </c>
      <c r="F33" s="1" t="s">
        <v>26</v>
      </c>
      <c r="G33" s="1" t="s">
        <v>27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0</v>
      </c>
      <c r="B1" s="2" t="s">
        <v>1</v>
      </c>
      <c r="C1" s="3" t="s">
        <v>111</v>
      </c>
      <c r="D1" s="2" t="s">
        <v>2</v>
      </c>
      <c r="E1" s="2" t="s">
        <v>3</v>
      </c>
      <c r="F1" s="2" t="s">
        <v>4</v>
      </c>
      <c r="G1" s="2" t="s">
        <v>5</v>
      </c>
      <c r="H1" s="2" t="s">
        <v>6</v>
      </c>
    </row>
    <row r="2">
      <c r="A2" s="1" t="s">
        <v>7</v>
      </c>
      <c r="B2" s="4">
        <v>45566.0</v>
      </c>
      <c r="C2" s="5" t="str">
        <f t="shared" ref="C2:C31" si="1">TEXT(B2,"mmmm")</f>
        <v>octubre</v>
      </c>
      <c r="D2" s="6" t="s">
        <v>48</v>
      </c>
      <c r="E2" s="1" t="s">
        <v>10</v>
      </c>
      <c r="F2" s="7">
        <v>45000.0</v>
      </c>
      <c r="G2" s="6" t="s">
        <v>40</v>
      </c>
      <c r="H2" s="1" t="s">
        <v>12</v>
      </c>
    </row>
    <row r="3">
      <c r="A3" s="1" t="s">
        <v>13</v>
      </c>
      <c r="B3" s="4">
        <v>45566.0</v>
      </c>
      <c r="C3" s="5" t="str">
        <f t="shared" si="1"/>
        <v>octubre</v>
      </c>
      <c r="D3" s="6" t="s">
        <v>102</v>
      </c>
      <c r="E3" s="1" t="s">
        <v>15</v>
      </c>
      <c r="F3" s="7">
        <v>189000.0</v>
      </c>
      <c r="G3" s="6" t="s">
        <v>16</v>
      </c>
      <c r="H3" s="1" t="s">
        <v>17</v>
      </c>
    </row>
    <row r="4">
      <c r="A4" s="1" t="s">
        <v>18</v>
      </c>
      <c r="B4" s="4">
        <v>45567.0</v>
      </c>
      <c r="C4" s="5" t="str">
        <f t="shared" si="1"/>
        <v>octubre</v>
      </c>
      <c r="D4" s="6" t="s">
        <v>38</v>
      </c>
      <c r="E4" s="1" t="s">
        <v>21</v>
      </c>
      <c r="F4" s="7">
        <v>65000.0</v>
      </c>
      <c r="G4" s="6" t="s">
        <v>40</v>
      </c>
      <c r="H4" s="8" t="s">
        <v>112</v>
      </c>
    </row>
    <row r="5">
      <c r="A5" s="1" t="s">
        <v>23</v>
      </c>
      <c r="B5" s="4">
        <v>45567.0</v>
      </c>
      <c r="C5" s="5" t="str">
        <f t="shared" si="1"/>
        <v>octubre</v>
      </c>
      <c r="D5" s="6" t="s">
        <v>24</v>
      </c>
      <c r="E5" s="1" t="s">
        <v>25</v>
      </c>
      <c r="F5" s="7">
        <v>25000.0</v>
      </c>
      <c r="G5" s="6" t="s">
        <v>16</v>
      </c>
      <c r="H5" s="1" t="s">
        <v>27</v>
      </c>
    </row>
    <row r="6">
      <c r="A6" s="1" t="s">
        <v>28</v>
      </c>
      <c r="B6" s="4">
        <v>45568.0</v>
      </c>
      <c r="C6" s="5" t="str">
        <f t="shared" si="1"/>
        <v>octubre</v>
      </c>
      <c r="D6" s="6" t="s">
        <v>48</v>
      </c>
      <c r="E6" s="1" t="s">
        <v>31</v>
      </c>
      <c r="F6" s="7">
        <v>38000.0</v>
      </c>
      <c r="G6" s="6" t="s">
        <v>40</v>
      </c>
      <c r="H6" s="1" t="s">
        <v>12</v>
      </c>
    </row>
    <row r="7">
      <c r="A7" s="1" t="s">
        <v>32</v>
      </c>
      <c r="B7" s="4">
        <v>45568.0</v>
      </c>
      <c r="C7" s="5" t="str">
        <f t="shared" si="1"/>
        <v>octubre</v>
      </c>
      <c r="D7" s="6" t="s">
        <v>102</v>
      </c>
      <c r="E7" s="1" t="s">
        <v>34</v>
      </c>
      <c r="F7" s="7">
        <v>42000.0</v>
      </c>
      <c r="G7" s="6" t="s">
        <v>16</v>
      </c>
      <c r="H7" s="8" t="s">
        <v>112</v>
      </c>
    </row>
    <row r="8">
      <c r="A8" s="1" t="s">
        <v>36</v>
      </c>
      <c r="B8" s="4">
        <v>45566.0</v>
      </c>
      <c r="C8" s="5" t="str">
        <f t="shared" si="1"/>
        <v>octubre</v>
      </c>
      <c r="D8" s="6" t="s">
        <v>48</v>
      </c>
      <c r="E8" s="1" t="s">
        <v>10</v>
      </c>
      <c r="F8" s="7">
        <v>45000.0</v>
      </c>
      <c r="G8" s="6" t="s">
        <v>40</v>
      </c>
      <c r="H8" s="1" t="s">
        <v>12</v>
      </c>
    </row>
    <row r="9">
      <c r="A9" s="1" t="s">
        <v>42</v>
      </c>
      <c r="B9" s="4">
        <v>45569.0</v>
      </c>
      <c r="C9" s="5" t="str">
        <f t="shared" si="1"/>
        <v>octubre</v>
      </c>
      <c r="D9" s="6" t="s">
        <v>38</v>
      </c>
      <c r="E9" s="1" t="s">
        <v>39</v>
      </c>
      <c r="F9" s="7">
        <v>95000.0</v>
      </c>
      <c r="G9" s="6" t="s">
        <v>40</v>
      </c>
      <c r="H9" s="1" t="s">
        <v>41</v>
      </c>
    </row>
    <row r="10">
      <c r="A10" s="1" t="s">
        <v>46</v>
      </c>
      <c r="B10" s="4">
        <v>45569.0</v>
      </c>
      <c r="C10" s="5" t="str">
        <f t="shared" si="1"/>
        <v>octubre</v>
      </c>
      <c r="D10" s="6" t="s">
        <v>24</v>
      </c>
      <c r="E10" s="1" t="s">
        <v>44</v>
      </c>
      <c r="F10" s="7">
        <v>320000.0</v>
      </c>
      <c r="G10" s="6" t="s">
        <v>16</v>
      </c>
      <c r="H10" s="1" t="s">
        <v>12</v>
      </c>
    </row>
    <row r="11">
      <c r="A11" s="1" t="s">
        <v>50</v>
      </c>
      <c r="B11" s="4">
        <v>45570.0</v>
      </c>
      <c r="C11" s="5" t="str">
        <f t="shared" si="1"/>
        <v>octubre</v>
      </c>
      <c r="D11" s="6" t="s">
        <v>48</v>
      </c>
      <c r="E11" s="1" t="s">
        <v>49</v>
      </c>
      <c r="F11" s="7">
        <v>450000.0</v>
      </c>
      <c r="G11" s="6" t="s">
        <v>40</v>
      </c>
      <c r="H11" s="1" t="s">
        <v>17</v>
      </c>
    </row>
    <row r="12">
      <c r="A12" s="1" t="s">
        <v>53</v>
      </c>
      <c r="B12" s="4">
        <v>45570.0</v>
      </c>
      <c r="C12" s="5" t="str">
        <f t="shared" si="1"/>
        <v>octubre</v>
      </c>
      <c r="D12" s="6" t="s">
        <v>38</v>
      </c>
      <c r="E12" s="1" t="s">
        <v>52</v>
      </c>
      <c r="F12" s="7">
        <v>52000.0</v>
      </c>
      <c r="G12" s="6" t="s">
        <v>16</v>
      </c>
      <c r="H12" s="8" t="s">
        <v>112</v>
      </c>
    </row>
    <row r="13">
      <c r="A13" s="1" t="s">
        <v>58</v>
      </c>
      <c r="B13" s="4">
        <v>45571.0</v>
      </c>
      <c r="C13" s="5" t="str">
        <f t="shared" si="1"/>
        <v>octubre</v>
      </c>
      <c r="D13" s="6" t="s">
        <v>102</v>
      </c>
      <c r="E13" s="1" t="s">
        <v>56</v>
      </c>
      <c r="F13" s="7">
        <v>85000.0</v>
      </c>
      <c r="G13" s="6" t="s">
        <v>40</v>
      </c>
      <c r="H13" s="1" t="s">
        <v>57</v>
      </c>
    </row>
    <row r="14">
      <c r="A14" s="1" t="s">
        <v>61</v>
      </c>
      <c r="B14" s="4">
        <v>45571.0</v>
      </c>
      <c r="C14" s="5" t="str">
        <f t="shared" si="1"/>
        <v>octubre</v>
      </c>
      <c r="D14" s="6" t="s">
        <v>24</v>
      </c>
      <c r="E14" s="1" t="s">
        <v>60</v>
      </c>
      <c r="F14" s="7">
        <v>78000.0</v>
      </c>
      <c r="G14" s="6" t="s">
        <v>40</v>
      </c>
      <c r="H14" s="1" t="s">
        <v>12</v>
      </c>
    </row>
    <row r="15">
      <c r="A15" s="1" t="s">
        <v>64</v>
      </c>
      <c r="B15" s="4">
        <v>45572.0</v>
      </c>
      <c r="C15" s="5" t="str">
        <f t="shared" si="1"/>
        <v>octubre</v>
      </c>
      <c r="D15" s="6" t="s">
        <v>48</v>
      </c>
      <c r="E15" s="1" t="s">
        <v>63</v>
      </c>
      <c r="F15" s="7">
        <v>185000.0</v>
      </c>
      <c r="G15" s="6" t="s">
        <v>16</v>
      </c>
      <c r="H15" s="1" t="s">
        <v>27</v>
      </c>
    </row>
    <row r="16">
      <c r="A16" s="1" t="s">
        <v>67</v>
      </c>
      <c r="B16" s="4">
        <v>45572.0</v>
      </c>
      <c r="C16" s="5" t="str">
        <f t="shared" si="1"/>
        <v>octubre</v>
      </c>
      <c r="D16" s="6" t="s">
        <v>38</v>
      </c>
      <c r="E16" s="1" t="s">
        <v>66</v>
      </c>
      <c r="F16" s="7">
        <v>48000.0</v>
      </c>
      <c r="G16" s="6" t="s">
        <v>16</v>
      </c>
      <c r="H16" s="8" t="s">
        <v>112</v>
      </c>
    </row>
    <row r="17">
      <c r="A17" s="1" t="s">
        <v>71</v>
      </c>
      <c r="B17" s="4">
        <v>45573.0</v>
      </c>
      <c r="C17" s="5" t="str">
        <f t="shared" si="1"/>
        <v>octubre</v>
      </c>
      <c r="D17" s="6" t="s">
        <v>102</v>
      </c>
      <c r="E17" s="1" t="s">
        <v>70</v>
      </c>
      <c r="F17" s="7">
        <v>125000.0</v>
      </c>
      <c r="G17" s="6" t="s">
        <v>40</v>
      </c>
      <c r="H17" s="1" t="s">
        <v>17</v>
      </c>
    </row>
    <row r="18">
      <c r="A18" s="1" t="s">
        <v>73</v>
      </c>
      <c r="B18" s="4">
        <v>45573.0</v>
      </c>
      <c r="C18" s="5" t="str">
        <f t="shared" si="1"/>
        <v>octubre</v>
      </c>
      <c r="D18" s="6" t="s">
        <v>24</v>
      </c>
      <c r="E18" s="1" t="s">
        <v>72</v>
      </c>
      <c r="F18" s="7">
        <v>12000.0</v>
      </c>
      <c r="G18" s="6" t="s">
        <v>16</v>
      </c>
      <c r="H18" s="1" t="s">
        <v>12</v>
      </c>
    </row>
    <row r="19">
      <c r="A19" s="1" t="s">
        <v>76</v>
      </c>
      <c r="B19" s="4">
        <v>45574.0</v>
      </c>
      <c r="C19" s="5" t="str">
        <f t="shared" si="1"/>
        <v>octubre</v>
      </c>
      <c r="D19" s="6" t="s">
        <v>48</v>
      </c>
      <c r="E19" s="1" t="s">
        <v>75</v>
      </c>
      <c r="F19" s="7">
        <v>28000.0</v>
      </c>
      <c r="G19" s="6" t="s">
        <v>40</v>
      </c>
      <c r="H19" s="1" t="s">
        <v>41</v>
      </c>
    </row>
    <row r="20">
      <c r="A20" s="1" t="s">
        <v>78</v>
      </c>
      <c r="B20" s="4">
        <v>45574.0</v>
      </c>
      <c r="C20" s="5" t="str">
        <f t="shared" si="1"/>
        <v>octubre</v>
      </c>
      <c r="D20" s="6" t="s">
        <v>38</v>
      </c>
      <c r="E20" s="1" t="s">
        <v>77</v>
      </c>
      <c r="F20" s="7">
        <v>110000.0</v>
      </c>
      <c r="G20" s="6" t="s">
        <v>40</v>
      </c>
      <c r="H20" s="8" t="s">
        <v>112</v>
      </c>
    </row>
    <row r="21">
      <c r="A21" s="1" t="s">
        <v>81</v>
      </c>
      <c r="B21" s="4">
        <v>45575.0</v>
      </c>
      <c r="C21" s="5" t="str">
        <f t="shared" si="1"/>
        <v>octubre</v>
      </c>
      <c r="D21" s="6" t="s">
        <v>102</v>
      </c>
      <c r="E21" s="1" t="s">
        <v>80</v>
      </c>
      <c r="F21" s="7">
        <v>95000.0</v>
      </c>
      <c r="G21" s="6" t="s">
        <v>16</v>
      </c>
      <c r="H21" s="1" t="s">
        <v>57</v>
      </c>
    </row>
    <row r="22">
      <c r="A22" s="1" t="s">
        <v>84</v>
      </c>
      <c r="B22" s="4">
        <v>45575.0</v>
      </c>
      <c r="C22" s="5" t="str">
        <f t="shared" si="1"/>
        <v>octubre</v>
      </c>
      <c r="D22" s="6" t="s">
        <v>24</v>
      </c>
      <c r="E22" s="1" t="s">
        <v>83</v>
      </c>
      <c r="F22" s="7">
        <v>32000.0</v>
      </c>
      <c r="G22" s="6" t="s">
        <v>16</v>
      </c>
      <c r="H22" s="1" t="s">
        <v>12</v>
      </c>
    </row>
    <row r="23">
      <c r="A23" s="1" t="s">
        <v>87</v>
      </c>
      <c r="B23" s="4">
        <v>45576.0</v>
      </c>
      <c r="C23" s="5" t="str">
        <f t="shared" si="1"/>
        <v>octubre</v>
      </c>
      <c r="D23" s="6" t="s">
        <v>48</v>
      </c>
      <c r="E23" s="1" t="s">
        <v>86</v>
      </c>
      <c r="F23" s="7">
        <v>72000.0</v>
      </c>
      <c r="G23" s="6" t="s">
        <v>40</v>
      </c>
      <c r="H23" s="1" t="s">
        <v>17</v>
      </c>
    </row>
    <row r="24">
      <c r="A24" s="1" t="s">
        <v>89</v>
      </c>
      <c r="B24" s="4">
        <v>45576.0</v>
      </c>
      <c r="C24" s="5" t="str">
        <f t="shared" si="1"/>
        <v>octubre</v>
      </c>
      <c r="D24" s="6" t="s">
        <v>38</v>
      </c>
      <c r="E24" s="1" t="s">
        <v>88</v>
      </c>
      <c r="F24" s="7">
        <v>58000.0</v>
      </c>
      <c r="G24" s="6" t="s">
        <v>16</v>
      </c>
      <c r="H24" s="1" t="s">
        <v>27</v>
      </c>
    </row>
    <row r="25">
      <c r="A25" s="1" t="s">
        <v>92</v>
      </c>
      <c r="B25" s="4">
        <v>45572.0</v>
      </c>
      <c r="C25" s="5" t="str">
        <f t="shared" si="1"/>
        <v>octubre</v>
      </c>
      <c r="D25" s="6" t="s">
        <v>48</v>
      </c>
      <c r="E25" s="1" t="s">
        <v>63</v>
      </c>
      <c r="F25" s="7">
        <v>185000.0</v>
      </c>
      <c r="G25" s="6" t="s">
        <v>16</v>
      </c>
      <c r="H25" s="1" t="s">
        <v>27</v>
      </c>
    </row>
    <row r="26">
      <c r="A26" s="1" t="s">
        <v>94</v>
      </c>
      <c r="B26" s="4">
        <v>45577.0</v>
      </c>
      <c r="C26" s="5" t="str">
        <f t="shared" si="1"/>
        <v>octubre</v>
      </c>
      <c r="D26" s="6" t="s">
        <v>102</v>
      </c>
      <c r="E26" s="1" t="s">
        <v>91</v>
      </c>
      <c r="F26" s="7">
        <v>68000.0</v>
      </c>
      <c r="G26" s="6" t="s">
        <v>40</v>
      </c>
      <c r="H26" s="8" t="s">
        <v>112</v>
      </c>
    </row>
    <row r="27">
      <c r="A27" s="1" t="s">
        <v>98</v>
      </c>
      <c r="B27" s="4">
        <v>45577.0</v>
      </c>
      <c r="C27" s="5" t="str">
        <f t="shared" si="1"/>
        <v>octubre</v>
      </c>
      <c r="D27" s="6" t="s">
        <v>24</v>
      </c>
      <c r="E27" s="1" t="s">
        <v>93</v>
      </c>
      <c r="F27" s="7">
        <v>18000.0</v>
      </c>
      <c r="G27" s="6" t="s">
        <v>16</v>
      </c>
      <c r="H27" s="1" t="s">
        <v>12</v>
      </c>
    </row>
    <row r="28">
      <c r="A28" s="1" t="s">
        <v>100</v>
      </c>
      <c r="B28" s="4">
        <v>45578.0</v>
      </c>
      <c r="C28" s="5" t="str">
        <f t="shared" si="1"/>
        <v>octubre</v>
      </c>
      <c r="D28" s="6" t="s">
        <v>48</v>
      </c>
      <c r="E28" s="1" t="s">
        <v>97</v>
      </c>
      <c r="F28" s="7">
        <v>55000.0</v>
      </c>
      <c r="G28" s="6" t="s">
        <v>40</v>
      </c>
      <c r="H28" s="1" t="s">
        <v>41</v>
      </c>
    </row>
    <row r="29">
      <c r="A29" s="1" t="s">
        <v>104</v>
      </c>
      <c r="B29" s="4">
        <v>45578.0</v>
      </c>
      <c r="C29" s="5" t="str">
        <f t="shared" si="1"/>
        <v>octubre</v>
      </c>
      <c r="D29" s="6" t="s">
        <v>38</v>
      </c>
      <c r="E29" s="1" t="s">
        <v>99</v>
      </c>
      <c r="F29" s="7">
        <v>28000.0</v>
      </c>
      <c r="G29" s="6" t="s">
        <v>16</v>
      </c>
      <c r="H29" s="1" t="s">
        <v>17</v>
      </c>
    </row>
    <row r="30">
      <c r="A30" s="1" t="s">
        <v>106</v>
      </c>
      <c r="B30" s="4">
        <v>45579.0</v>
      </c>
      <c r="C30" s="5" t="str">
        <f t="shared" si="1"/>
        <v>octubre</v>
      </c>
      <c r="D30" s="6" t="s">
        <v>102</v>
      </c>
      <c r="E30" s="1" t="s">
        <v>103</v>
      </c>
      <c r="F30" s="7">
        <v>45000.0</v>
      </c>
      <c r="G30" s="6" t="s">
        <v>40</v>
      </c>
      <c r="H30" s="8" t="s">
        <v>112</v>
      </c>
    </row>
    <row r="31">
      <c r="A31" s="1" t="s">
        <v>109</v>
      </c>
      <c r="B31" s="4">
        <v>45579.0</v>
      </c>
      <c r="C31" s="5" t="str">
        <f t="shared" si="1"/>
        <v>octubre</v>
      </c>
      <c r="D31" s="6" t="s">
        <v>24</v>
      </c>
      <c r="E31" s="1" t="s">
        <v>105</v>
      </c>
      <c r="F31" s="7">
        <v>38000.0</v>
      </c>
      <c r="G31" s="6" t="s">
        <v>16</v>
      </c>
      <c r="H31" s="1" t="s">
        <v>57</v>
      </c>
    </row>
  </sheetData>
  <autoFilter ref="$A$1:$H$31">
    <sortState ref="A1:H31">
      <sortCondition ref="A1:A31"/>
      <sortCondition ref="H1:H31"/>
      <sortCondition ref="G1:G31"/>
    </sortState>
  </autoFilter>
  <customSheetViews>
    <customSheetView guid="{5F2DF586-183E-4FC9-8DDE-40FF489D594F}" filter="1" showAutoFilter="1">
      <autoFilter ref="$A$1:$H$31"/>
      <extLst>
        <ext uri="GoogleSheetsCustomDataVersion1">
          <go:sheetsCustomData xmlns:go="http://customooxmlschemas.google.com/" filterViewId="915725332"/>
        </ext>
      </extLst>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1"/>
    <col customWidth="1" min="3" max="3" width="12.89"/>
    <col customWidth="1" min="4" max="4" width="4.33"/>
    <col customWidth="1" min="5" max="5" width="6.67"/>
    <col customWidth="1" min="10" max="10" width="5.0"/>
  </cols>
  <sheetData>
    <row r="1">
      <c r="A1" s="9"/>
      <c r="B1" s="9"/>
      <c r="C1" s="9"/>
    </row>
    <row r="2">
      <c r="A2" s="9"/>
      <c r="B2" s="10" t="s">
        <v>113</v>
      </c>
      <c r="C2" s="11"/>
      <c r="E2" s="2" t="s">
        <v>0</v>
      </c>
      <c r="F2" s="2" t="s">
        <v>1</v>
      </c>
      <c r="G2" s="2" t="s">
        <v>2</v>
      </c>
      <c r="H2" s="2" t="s">
        <v>3</v>
      </c>
      <c r="I2" s="2" t="s">
        <v>4</v>
      </c>
      <c r="J2" s="2" t="s">
        <v>5</v>
      </c>
      <c r="K2" s="2" t="s">
        <v>6</v>
      </c>
      <c r="L2" s="12" t="s">
        <v>114</v>
      </c>
    </row>
    <row r="3">
      <c r="A3" s="13"/>
      <c r="B3" s="14" t="s">
        <v>115</v>
      </c>
      <c r="C3" s="14" t="s">
        <v>116</v>
      </c>
      <c r="E3" s="1" t="s">
        <v>7</v>
      </c>
      <c r="F3" s="1" t="s">
        <v>8</v>
      </c>
      <c r="G3" s="6" t="s">
        <v>48</v>
      </c>
      <c r="H3" s="1" t="s">
        <v>10</v>
      </c>
      <c r="I3" s="7">
        <v>45000.0</v>
      </c>
      <c r="J3" s="6" t="s">
        <v>40</v>
      </c>
      <c r="K3" s="1" t="s">
        <v>12</v>
      </c>
      <c r="L3" s="15" t="str">
        <f t="shared" ref="L3:L32" si="1">IF(I3&gt;75000,"Alta",IF(I3&gt;=30000,"Media","Baja"))</f>
        <v>Media</v>
      </c>
    </row>
    <row r="4">
      <c r="A4" s="8"/>
      <c r="B4" s="16" t="s">
        <v>48</v>
      </c>
      <c r="C4" s="17">
        <f>SUMIF(Ventas_Limpias!D:D,B4,Ventas_Limpias!F:F)</f>
        <v>1103000</v>
      </c>
      <c r="E4" s="1" t="s">
        <v>13</v>
      </c>
      <c r="F4" s="1" t="s">
        <v>8</v>
      </c>
      <c r="G4" s="6" t="s">
        <v>102</v>
      </c>
      <c r="H4" s="1" t="s">
        <v>15</v>
      </c>
      <c r="I4" s="7">
        <v>189000.0</v>
      </c>
      <c r="J4" s="6" t="s">
        <v>16</v>
      </c>
      <c r="K4" s="1" t="s">
        <v>17</v>
      </c>
      <c r="L4" s="15" t="str">
        <f t="shared" si="1"/>
        <v>Alta</v>
      </c>
    </row>
    <row r="5">
      <c r="A5" s="8"/>
      <c r="B5" s="16" t="s">
        <v>102</v>
      </c>
      <c r="C5" s="17">
        <f>SUMIF(Ventas_Limpias!D:D,B5,Ventas_Limpias!F:F)</f>
        <v>649000</v>
      </c>
      <c r="E5" s="1" t="s">
        <v>18</v>
      </c>
      <c r="F5" s="1" t="s">
        <v>19</v>
      </c>
      <c r="G5" s="6" t="s">
        <v>38</v>
      </c>
      <c r="H5" s="1" t="s">
        <v>21</v>
      </c>
      <c r="I5" s="7">
        <v>65000.0</v>
      </c>
      <c r="J5" s="6" t="s">
        <v>40</v>
      </c>
      <c r="K5" s="8" t="s">
        <v>112</v>
      </c>
      <c r="L5" s="15" t="str">
        <f t="shared" si="1"/>
        <v>Media</v>
      </c>
    </row>
    <row r="6">
      <c r="A6" s="8"/>
      <c r="B6" s="16" t="s">
        <v>38</v>
      </c>
      <c r="C6" s="17">
        <f>SUMIF(Ventas_Limpias!D:D,B6,Ventas_Limpias!F:F)</f>
        <v>456000</v>
      </c>
      <c r="E6" s="1" t="s">
        <v>23</v>
      </c>
      <c r="F6" s="1" t="s">
        <v>19</v>
      </c>
      <c r="G6" s="6" t="s">
        <v>24</v>
      </c>
      <c r="H6" s="1" t="s">
        <v>25</v>
      </c>
      <c r="I6" s="7">
        <v>25000.0</v>
      </c>
      <c r="J6" s="6" t="s">
        <v>16</v>
      </c>
      <c r="K6" s="1" t="s">
        <v>27</v>
      </c>
      <c r="L6" s="15" t="str">
        <f t="shared" si="1"/>
        <v>Baja</v>
      </c>
    </row>
    <row r="7">
      <c r="A7" s="8"/>
      <c r="B7" s="16" t="s">
        <v>24</v>
      </c>
      <c r="C7" s="17">
        <f>SUMIF(Ventas_Limpias!D:D,B7,Ventas_Limpias!F:F)</f>
        <v>523000</v>
      </c>
      <c r="E7" s="1" t="s">
        <v>28</v>
      </c>
      <c r="F7" s="1" t="s">
        <v>29</v>
      </c>
      <c r="G7" s="6" t="s">
        <v>48</v>
      </c>
      <c r="H7" s="1" t="s">
        <v>31</v>
      </c>
      <c r="I7" s="7">
        <v>38000.0</v>
      </c>
      <c r="J7" s="6" t="s">
        <v>40</v>
      </c>
      <c r="K7" s="1" t="s">
        <v>12</v>
      </c>
      <c r="L7" s="15" t="str">
        <f t="shared" si="1"/>
        <v>Media</v>
      </c>
    </row>
    <row r="8">
      <c r="E8" s="1" t="s">
        <v>32</v>
      </c>
      <c r="F8" s="1" t="s">
        <v>29</v>
      </c>
      <c r="G8" s="6" t="s">
        <v>102</v>
      </c>
      <c r="H8" s="1" t="s">
        <v>34</v>
      </c>
      <c r="I8" s="7">
        <v>42000.0</v>
      </c>
      <c r="J8" s="6" t="s">
        <v>16</v>
      </c>
      <c r="K8" s="8" t="s">
        <v>112</v>
      </c>
      <c r="L8" s="15" t="str">
        <f t="shared" si="1"/>
        <v>Media</v>
      </c>
    </row>
    <row r="9">
      <c r="B9" s="10" t="s">
        <v>117</v>
      </c>
      <c r="C9" s="11"/>
      <c r="E9" s="1" t="s">
        <v>36</v>
      </c>
      <c r="F9" s="1" t="s">
        <v>8</v>
      </c>
      <c r="G9" s="6" t="s">
        <v>48</v>
      </c>
      <c r="H9" s="1" t="s">
        <v>10</v>
      </c>
      <c r="I9" s="7">
        <v>45000.0</v>
      </c>
      <c r="J9" s="6" t="s">
        <v>40</v>
      </c>
      <c r="K9" s="1" t="s">
        <v>12</v>
      </c>
      <c r="L9" s="15" t="str">
        <f t="shared" si="1"/>
        <v>Media</v>
      </c>
    </row>
    <row r="10">
      <c r="B10" s="14" t="s">
        <v>5</v>
      </c>
      <c r="C10" s="14" t="s">
        <v>118</v>
      </c>
      <c r="E10" s="1" t="s">
        <v>42</v>
      </c>
      <c r="F10" s="1" t="s">
        <v>37</v>
      </c>
      <c r="G10" s="6" t="s">
        <v>38</v>
      </c>
      <c r="H10" s="1" t="s">
        <v>39</v>
      </c>
      <c r="I10" s="7">
        <v>95000.0</v>
      </c>
      <c r="J10" s="6" t="s">
        <v>40</v>
      </c>
      <c r="K10" s="1" t="s">
        <v>41</v>
      </c>
      <c r="L10" s="15" t="str">
        <f t="shared" si="1"/>
        <v>Alta</v>
      </c>
    </row>
    <row r="11">
      <c r="B11" s="16" t="s">
        <v>40</v>
      </c>
      <c r="C11" s="17">
        <f>AVERAGEIF(Ventas_Limpias!G:G, B11, Ventas_Limpias!F:F)</f>
        <v>93600</v>
      </c>
      <c r="E11" s="1" t="s">
        <v>46</v>
      </c>
      <c r="F11" s="1" t="s">
        <v>37</v>
      </c>
      <c r="G11" s="6" t="s">
        <v>24</v>
      </c>
      <c r="H11" s="1" t="s">
        <v>44</v>
      </c>
      <c r="I11" s="7">
        <v>320000.0</v>
      </c>
      <c r="J11" s="6" t="s">
        <v>16</v>
      </c>
      <c r="K11" s="1" t="s">
        <v>12</v>
      </c>
      <c r="L11" s="15" t="str">
        <f t="shared" si="1"/>
        <v>Alta</v>
      </c>
    </row>
    <row r="12">
      <c r="B12" s="16" t="s">
        <v>16</v>
      </c>
      <c r="C12" s="17">
        <f>AVERAGEIF(Ventas_Limpias!G:G, B12, Ventas_Limpias!F:F)</f>
        <v>88466.66667</v>
      </c>
      <c r="E12" s="1" t="s">
        <v>50</v>
      </c>
      <c r="F12" s="1" t="s">
        <v>47</v>
      </c>
      <c r="G12" s="6" t="s">
        <v>48</v>
      </c>
      <c r="H12" s="1" t="s">
        <v>49</v>
      </c>
      <c r="I12" s="7">
        <v>450000.0</v>
      </c>
      <c r="J12" s="6" t="s">
        <v>40</v>
      </c>
      <c r="K12" s="1" t="s">
        <v>17</v>
      </c>
      <c r="L12" s="15" t="str">
        <f t="shared" si="1"/>
        <v>Alta</v>
      </c>
    </row>
    <row r="13">
      <c r="E13" s="1" t="s">
        <v>53</v>
      </c>
      <c r="F13" s="1" t="s">
        <v>47</v>
      </c>
      <c r="G13" s="6" t="s">
        <v>38</v>
      </c>
      <c r="H13" s="1" t="s">
        <v>52</v>
      </c>
      <c r="I13" s="7">
        <v>52000.0</v>
      </c>
      <c r="J13" s="6" t="s">
        <v>16</v>
      </c>
      <c r="K13" s="8" t="s">
        <v>112</v>
      </c>
      <c r="L13" s="15" t="str">
        <f t="shared" si="1"/>
        <v>Media</v>
      </c>
    </row>
    <row r="14">
      <c r="B14" s="10" t="s">
        <v>119</v>
      </c>
      <c r="C14" s="11"/>
      <c r="E14" s="1" t="s">
        <v>58</v>
      </c>
      <c r="F14" s="1" t="s">
        <v>54</v>
      </c>
      <c r="G14" s="6" t="s">
        <v>102</v>
      </c>
      <c r="H14" s="1" t="s">
        <v>56</v>
      </c>
      <c r="I14" s="7">
        <v>85000.0</v>
      </c>
      <c r="J14" s="6" t="s">
        <v>40</v>
      </c>
      <c r="K14" s="1" t="s">
        <v>57</v>
      </c>
      <c r="L14" s="15" t="str">
        <f t="shared" si="1"/>
        <v>Alta</v>
      </c>
    </row>
    <row r="15">
      <c r="B15" s="18">
        <f>COUNTIF(Ventas_Limpias!F:F,"&gt;50000")</f>
        <v>17</v>
      </c>
      <c r="C15" s="11"/>
      <c r="E15" s="1" t="s">
        <v>61</v>
      </c>
      <c r="F15" s="1" t="s">
        <v>54</v>
      </c>
      <c r="G15" s="6" t="s">
        <v>24</v>
      </c>
      <c r="H15" s="1" t="s">
        <v>60</v>
      </c>
      <c r="I15" s="7">
        <v>78000.0</v>
      </c>
      <c r="J15" s="6" t="s">
        <v>40</v>
      </c>
      <c r="K15" s="1" t="s">
        <v>12</v>
      </c>
      <c r="L15" s="15" t="str">
        <f t="shared" si="1"/>
        <v>Alta</v>
      </c>
    </row>
    <row r="16">
      <c r="E16" s="1" t="s">
        <v>64</v>
      </c>
      <c r="F16" s="1" t="s">
        <v>62</v>
      </c>
      <c r="G16" s="6" t="s">
        <v>48</v>
      </c>
      <c r="H16" s="1" t="s">
        <v>63</v>
      </c>
      <c r="I16" s="7">
        <v>185000.0</v>
      </c>
      <c r="J16" s="6" t="s">
        <v>16</v>
      </c>
      <c r="K16" s="1" t="s">
        <v>27</v>
      </c>
      <c r="L16" s="15" t="str">
        <f t="shared" si="1"/>
        <v>Alta</v>
      </c>
    </row>
    <row r="17">
      <c r="E17" s="1" t="s">
        <v>67</v>
      </c>
      <c r="F17" s="1" t="s">
        <v>62</v>
      </c>
      <c r="G17" s="6" t="s">
        <v>38</v>
      </c>
      <c r="H17" s="1" t="s">
        <v>66</v>
      </c>
      <c r="I17" s="7">
        <v>48000.0</v>
      </c>
      <c r="J17" s="6" t="s">
        <v>16</v>
      </c>
      <c r="K17" s="8" t="s">
        <v>112</v>
      </c>
      <c r="L17" s="15" t="str">
        <f t="shared" si="1"/>
        <v>Media</v>
      </c>
    </row>
    <row r="18">
      <c r="E18" s="1" t="s">
        <v>71</v>
      </c>
      <c r="F18" s="1" t="s">
        <v>68</v>
      </c>
      <c r="G18" s="6" t="s">
        <v>102</v>
      </c>
      <c r="H18" s="1" t="s">
        <v>70</v>
      </c>
      <c r="I18" s="7">
        <v>125000.0</v>
      </c>
      <c r="J18" s="6" t="s">
        <v>40</v>
      </c>
      <c r="K18" s="1" t="s">
        <v>17</v>
      </c>
      <c r="L18" s="15" t="str">
        <f t="shared" si="1"/>
        <v>Alta</v>
      </c>
    </row>
    <row r="19">
      <c r="E19" s="1" t="s">
        <v>73</v>
      </c>
      <c r="F19" s="1" t="s">
        <v>68</v>
      </c>
      <c r="G19" s="6" t="s">
        <v>24</v>
      </c>
      <c r="H19" s="1" t="s">
        <v>72</v>
      </c>
      <c r="I19" s="7">
        <v>12000.0</v>
      </c>
      <c r="J19" s="6" t="s">
        <v>16</v>
      </c>
      <c r="K19" s="1" t="s">
        <v>12</v>
      </c>
      <c r="L19" s="15" t="str">
        <f t="shared" si="1"/>
        <v>Baja</v>
      </c>
    </row>
    <row r="20">
      <c r="E20" s="1" t="s">
        <v>76</v>
      </c>
      <c r="F20" s="1" t="s">
        <v>74</v>
      </c>
      <c r="G20" s="6" t="s">
        <v>48</v>
      </c>
      <c r="H20" s="1" t="s">
        <v>75</v>
      </c>
      <c r="I20" s="7">
        <v>28000.0</v>
      </c>
      <c r="J20" s="6" t="s">
        <v>40</v>
      </c>
      <c r="K20" s="1" t="s">
        <v>41</v>
      </c>
      <c r="L20" s="15" t="str">
        <f t="shared" si="1"/>
        <v>Baja</v>
      </c>
    </row>
    <row r="21">
      <c r="E21" s="1" t="s">
        <v>78</v>
      </c>
      <c r="F21" s="1" t="s">
        <v>74</v>
      </c>
      <c r="G21" s="6" t="s">
        <v>38</v>
      </c>
      <c r="H21" s="1" t="s">
        <v>77</v>
      </c>
      <c r="I21" s="7">
        <v>110000.0</v>
      </c>
      <c r="J21" s="6" t="s">
        <v>40</v>
      </c>
      <c r="K21" s="8" t="s">
        <v>112</v>
      </c>
      <c r="L21" s="15" t="str">
        <f t="shared" si="1"/>
        <v>Alta</v>
      </c>
    </row>
    <row r="22">
      <c r="E22" s="1" t="s">
        <v>81</v>
      </c>
      <c r="F22" s="1" t="s">
        <v>79</v>
      </c>
      <c r="G22" s="6" t="s">
        <v>102</v>
      </c>
      <c r="H22" s="1" t="s">
        <v>80</v>
      </c>
      <c r="I22" s="7">
        <v>95000.0</v>
      </c>
      <c r="J22" s="6" t="s">
        <v>16</v>
      </c>
      <c r="K22" s="1" t="s">
        <v>57</v>
      </c>
      <c r="L22" s="15" t="str">
        <f t="shared" si="1"/>
        <v>Alta</v>
      </c>
    </row>
    <row r="23">
      <c r="E23" s="1" t="s">
        <v>84</v>
      </c>
      <c r="F23" s="1" t="s">
        <v>79</v>
      </c>
      <c r="G23" s="6" t="s">
        <v>24</v>
      </c>
      <c r="H23" s="1" t="s">
        <v>83</v>
      </c>
      <c r="I23" s="7">
        <v>32000.0</v>
      </c>
      <c r="J23" s="6" t="s">
        <v>16</v>
      </c>
      <c r="K23" s="1" t="s">
        <v>12</v>
      </c>
      <c r="L23" s="15" t="str">
        <f t="shared" si="1"/>
        <v>Media</v>
      </c>
    </row>
    <row r="24">
      <c r="E24" s="1" t="s">
        <v>87</v>
      </c>
      <c r="F24" s="1" t="s">
        <v>85</v>
      </c>
      <c r="G24" s="6" t="s">
        <v>48</v>
      </c>
      <c r="H24" s="1" t="s">
        <v>86</v>
      </c>
      <c r="I24" s="7">
        <v>72000.0</v>
      </c>
      <c r="J24" s="6" t="s">
        <v>40</v>
      </c>
      <c r="K24" s="1" t="s">
        <v>17</v>
      </c>
      <c r="L24" s="15" t="str">
        <f t="shared" si="1"/>
        <v>Media</v>
      </c>
    </row>
    <row r="25">
      <c r="E25" s="1" t="s">
        <v>89</v>
      </c>
      <c r="F25" s="1" t="s">
        <v>85</v>
      </c>
      <c r="G25" s="6" t="s">
        <v>38</v>
      </c>
      <c r="H25" s="1" t="s">
        <v>88</v>
      </c>
      <c r="I25" s="7">
        <v>58000.0</v>
      </c>
      <c r="J25" s="6" t="s">
        <v>16</v>
      </c>
      <c r="K25" s="1" t="s">
        <v>27</v>
      </c>
      <c r="L25" s="15" t="str">
        <f t="shared" si="1"/>
        <v>Media</v>
      </c>
    </row>
    <row r="26">
      <c r="E26" s="1" t="s">
        <v>92</v>
      </c>
      <c r="F26" s="1" t="s">
        <v>62</v>
      </c>
      <c r="G26" s="6" t="s">
        <v>48</v>
      </c>
      <c r="H26" s="1" t="s">
        <v>63</v>
      </c>
      <c r="I26" s="7">
        <v>185000.0</v>
      </c>
      <c r="J26" s="6" t="s">
        <v>16</v>
      </c>
      <c r="K26" s="1" t="s">
        <v>27</v>
      </c>
      <c r="L26" s="15" t="str">
        <f t="shared" si="1"/>
        <v>Alta</v>
      </c>
    </row>
    <row r="27">
      <c r="E27" s="1" t="s">
        <v>94</v>
      </c>
      <c r="F27" s="1" t="s">
        <v>90</v>
      </c>
      <c r="G27" s="6" t="s">
        <v>102</v>
      </c>
      <c r="H27" s="1" t="s">
        <v>91</v>
      </c>
      <c r="I27" s="7">
        <v>68000.0</v>
      </c>
      <c r="J27" s="6" t="s">
        <v>40</v>
      </c>
      <c r="K27" s="8" t="s">
        <v>112</v>
      </c>
      <c r="L27" s="15" t="str">
        <f t="shared" si="1"/>
        <v>Media</v>
      </c>
    </row>
    <row r="28">
      <c r="E28" s="1" t="s">
        <v>98</v>
      </c>
      <c r="F28" s="1" t="s">
        <v>90</v>
      </c>
      <c r="G28" s="6" t="s">
        <v>24</v>
      </c>
      <c r="H28" s="1" t="s">
        <v>93</v>
      </c>
      <c r="I28" s="7">
        <v>18000.0</v>
      </c>
      <c r="J28" s="6" t="s">
        <v>16</v>
      </c>
      <c r="K28" s="1" t="s">
        <v>12</v>
      </c>
      <c r="L28" s="15" t="str">
        <f t="shared" si="1"/>
        <v>Baja</v>
      </c>
    </row>
    <row r="29">
      <c r="E29" s="1" t="s">
        <v>100</v>
      </c>
      <c r="F29" s="1" t="s">
        <v>95</v>
      </c>
      <c r="G29" s="6" t="s">
        <v>48</v>
      </c>
      <c r="H29" s="1" t="s">
        <v>97</v>
      </c>
      <c r="I29" s="7">
        <v>55000.0</v>
      </c>
      <c r="J29" s="6" t="s">
        <v>40</v>
      </c>
      <c r="K29" s="1" t="s">
        <v>41</v>
      </c>
      <c r="L29" s="15" t="str">
        <f t="shared" si="1"/>
        <v>Media</v>
      </c>
    </row>
    <row r="30">
      <c r="E30" s="1" t="s">
        <v>104</v>
      </c>
      <c r="F30" s="1" t="s">
        <v>95</v>
      </c>
      <c r="G30" s="6" t="s">
        <v>38</v>
      </c>
      <c r="H30" s="1" t="s">
        <v>99</v>
      </c>
      <c r="I30" s="7">
        <v>28000.0</v>
      </c>
      <c r="J30" s="6" t="s">
        <v>16</v>
      </c>
      <c r="K30" s="1" t="s">
        <v>17</v>
      </c>
      <c r="L30" s="15" t="str">
        <f t="shared" si="1"/>
        <v>Baja</v>
      </c>
    </row>
    <row r="31">
      <c r="E31" s="1" t="s">
        <v>106</v>
      </c>
      <c r="F31" s="1" t="s">
        <v>101</v>
      </c>
      <c r="G31" s="6" t="s">
        <v>102</v>
      </c>
      <c r="H31" s="1" t="s">
        <v>103</v>
      </c>
      <c r="I31" s="7">
        <v>45000.0</v>
      </c>
      <c r="J31" s="6" t="s">
        <v>40</v>
      </c>
      <c r="K31" s="8" t="s">
        <v>112</v>
      </c>
      <c r="L31" s="15" t="str">
        <f t="shared" si="1"/>
        <v>Media</v>
      </c>
    </row>
    <row r="32">
      <c r="E32" s="1" t="s">
        <v>109</v>
      </c>
      <c r="F32" s="1" t="s">
        <v>101</v>
      </c>
      <c r="G32" s="6" t="s">
        <v>24</v>
      </c>
      <c r="H32" s="1" t="s">
        <v>105</v>
      </c>
      <c r="I32" s="7">
        <v>38000.0</v>
      </c>
      <c r="J32" s="6" t="s">
        <v>16</v>
      </c>
      <c r="K32" s="1" t="s">
        <v>57</v>
      </c>
      <c r="L32" s="15" t="str">
        <f t="shared" si="1"/>
        <v>Media</v>
      </c>
    </row>
  </sheetData>
  <mergeCells count="4">
    <mergeCell ref="B2:C2"/>
    <mergeCell ref="B9:C9"/>
    <mergeCell ref="B14:C14"/>
    <mergeCell ref="B15:C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c r="A1" s="19"/>
      <c r="B1" s="19"/>
      <c r="C1" s="19"/>
      <c r="D1" s="19"/>
    </row>
    <row r="2">
      <c r="A2" s="19"/>
      <c r="B2" s="19"/>
      <c r="C2" s="19"/>
      <c r="D2" s="19"/>
    </row>
    <row r="3">
      <c r="A3" s="19"/>
      <c r="B3" s="19"/>
      <c r="C3" s="19"/>
      <c r="D3" s="19"/>
    </row>
    <row r="4">
      <c r="A4" s="19"/>
      <c r="B4" s="19"/>
      <c r="C4" s="19"/>
      <c r="D4" s="19"/>
    </row>
    <row r="5">
      <c r="A5" s="20" t="s">
        <v>120</v>
      </c>
    </row>
    <row r="6"/>
    <row r="7"/>
    <row r="8"/>
    <row r="9"/>
    <row r="10"/>
    <row r="11"/>
    <row r="12"/>
  </sheetData>
  <mergeCells count="1">
    <mergeCell ref="A5:D5"/>
  </mergeCell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3" t="s">
        <v>123</v>
      </c>
      <c r="B1" s="24"/>
      <c r="C1" s="24"/>
      <c r="D1" s="24"/>
      <c r="E1" s="24"/>
      <c r="F1" s="11"/>
    </row>
    <row r="2">
      <c r="A2" s="25" t="s">
        <v>124</v>
      </c>
      <c r="B2" s="26"/>
      <c r="C2" s="26"/>
      <c r="D2" s="26"/>
      <c r="E2" s="26"/>
      <c r="F2" s="27"/>
    </row>
    <row r="3">
      <c r="A3" s="28"/>
      <c r="F3" s="29"/>
    </row>
    <row r="4">
      <c r="A4" s="28"/>
      <c r="F4" s="29"/>
    </row>
    <row r="5">
      <c r="A5" s="28"/>
      <c r="F5" s="29"/>
    </row>
    <row r="6">
      <c r="A6" s="28"/>
      <c r="F6" s="29"/>
    </row>
    <row r="7">
      <c r="A7" s="28"/>
      <c r="F7" s="29"/>
    </row>
    <row r="8">
      <c r="A8" s="28"/>
      <c r="F8" s="29"/>
    </row>
    <row r="9">
      <c r="A9" s="28"/>
      <c r="F9" s="29"/>
    </row>
    <row r="10">
      <c r="A10" s="28"/>
      <c r="F10" s="29"/>
    </row>
    <row r="11">
      <c r="A11" s="28"/>
      <c r="F11" s="29"/>
    </row>
    <row r="12">
      <c r="A12" s="28"/>
      <c r="F12" s="29"/>
    </row>
    <row r="13">
      <c r="A13" s="28"/>
      <c r="F13" s="29"/>
    </row>
    <row r="14">
      <c r="A14" s="28"/>
      <c r="F14" s="29"/>
    </row>
    <row r="15">
      <c r="A15" s="28"/>
      <c r="F15" s="29"/>
    </row>
    <row r="16">
      <c r="A16" s="28"/>
      <c r="F16" s="29"/>
    </row>
    <row r="17">
      <c r="A17" s="28"/>
      <c r="F17" s="29"/>
    </row>
    <row r="18">
      <c r="A18" s="28"/>
      <c r="F18" s="29"/>
    </row>
    <row r="19">
      <c r="A19" s="28"/>
      <c r="F19" s="29"/>
    </row>
    <row r="20">
      <c r="A20" s="28"/>
      <c r="F20" s="29"/>
    </row>
    <row r="21">
      <c r="A21" s="28"/>
      <c r="F21" s="29"/>
    </row>
    <row r="22">
      <c r="A22" s="28"/>
      <c r="F22" s="29"/>
    </row>
    <row r="23">
      <c r="A23" s="30"/>
      <c r="B23" s="31"/>
      <c r="C23" s="31"/>
      <c r="D23" s="31"/>
      <c r="E23" s="31"/>
      <c r="F23" s="32"/>
    </row>
  </sheetData>
  <mergeCells count="2">
    <mergeCell ref="A2:F23"/>
    <mergeCell ref="A1:F1"/>
  </mergeCells>
  <drawing r:id="rId1"/>
</worksheet>
</file>